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/>
  <xr:revisionPtr revIDLastSave="0" documentId="13_ncr:1_{9A351D8E-8AC9-4B29-A4AB-86D32B3D25A4}" xr6:coauthVersionLast="47" xr6:coauthVersionMax="47" xr10:uidLastSave="{00000000-0000-0000-0000-000000000000}"/>
  <bookViews>
    <workbookView xWindow="-108" yWindow="-108" windowWidth="23256" windowHeight="12456" tabRatio="863" firstSheet="1" activeTab="1" xr2:uid="{00000000-000D-0000-FFFF-FFFF00000000}"/>
  </bookViews>
  <sheets>
    <sheet name="INICIO" sheetId="6" state="hidden" r:id="rId1"/>
    <sheet name="DISEÑO ARQUITECTONICO" sheetId="1" r:id="rId2"/>
    <sheet name="Regla" sheetId="55" state="hidden" r:id="rId3"/>
    <sheet name="SelecReclamo" sheetId="56" state="hidden" r:id="rId4"/>
    <sheet name="VarExis" sheetId="52" state="hidden" r:id="rId5"/>
    <sheet name="VarHab" sheetId="53" state="hidden" r:id="rId6"/>
    <sheet name="Protocolo" sheetId="49" state="hidden" r:id="rId7"/>
    <sheet name="TipReclamo" sheetId="50" state="hidden" r:id="rId8"/>
    <sheet name="ValProtocolo" sheetId="51" state="hidden" r:id="rId9"/>
    <sheet name="Sheet3" sheetId="18" state="hidden" r:id="rId10"/>
    <sheet name="SEGURIDAD" sheetId="3" state="hidden" r:id="rId11"/>
    <sheet name="MANT-PARAM" sheetId="4" state="hidden" r:id="rId12"/>
    <sheet name="Producto" sheetId="58" state="hidden" r:id="rId13"/>
    <sheet name="SegmentoExi" sheetId="59" state="hidden" r:id="rId14"/>
    <sheet name="Familia" sheetId="61" state="hidden" r:id="rId15"/>
    <sheet name="FamiliaHab" sheetId="62" state="hidden" r:id="rId16"/>
    <sheet name="Clase" sheetId="63" state="hidden" r:id="rId17"/>
    <sheet name="ClaseHab" sheetId="64" state="hidden" r:id="rId18"/>
    <sheet name="Bien" sheetId="66" state="hidden" r:id="rId19"/>
    <sheet name="BienHab" sheetId="67" state="hidden" r:id="rId20"/>
    <sheet name="Hoja1" sheetId="11" state="hidden" r:id="rId21"/>
    <sheet name="DATA_ENTRY_CLIENTE" sheetId="13" state="hidden" r:id="rId22"/>
    <sheet name="Clientes" sheetId="45" state="hidden" r:id="rId23"/>
    <sheet name="ClientesHab" sheetId="46" state="hidden" r:id="rId24"/>
    <sheet name="Cons" sheetId="47" state="hidden" r:id="rId25"/>
    <sheet name="Conshab" sheetId="48" state="hidden" r:id="rId26"/>
    <sheet name="ReclamosDes" sheetId="37" state="hidden" r:id="rId27"/>
    <sheet name="ReclamosHab" sheetId="35" state="hidden" r:id="rId28"/>
    <sheet name="EstadoReclamo" sheetId="36" state="hidden" r:id="rId29"/>
    <sheet name="VarReclamo" sheetId="38" state="hidden" r:id="rId30"/>
    <sheet name="CatProblemas1" sheetId="39" state="hidden" r:id="rId31"/>
    <sheet name="CatProblemas2" sheetId="40" state="hidden" r:id="rId32"/>
    <sheet name="TipoProblema" sheetId="41" state="hidden" r:id="rId33"/>
    <sheet name="TipoProblemaHab" sheetId="42" state="hidden" r:id="rId34"/>
    <sheet name="Problema" sheetId="43" state="hidden" r:id="rId35"/>
    <sheet name="ProblemaHab" sheetId="44" state="hidden" r:id="rId36"/>
    <sheet name="Idiomas" sheetId="33" state="hidden" r:id="rId37"/>
    <sheet name="IdiomasHab" sheetId="34" state="hidden" r:id="rId38"/>
    <sheet name="Ambito" sheetId="26" state="hidden" r:id="rId39"/>
    <sheet name="AmbitoHab" sheetId="27" state="hidden" r:id="rId40"/>
    <sheet name="Sectores" sheetId="29" state="hidden" r:id="rId41"/>
    <sheet name="SectoresHab" sheetId="30" state="hidden" r:id="rId42"/>
    <sheet name="Local" sheetId="31" state="hidden" r:id="rId43"/>
    <sheet name="LocalHab" sheetId="32" state="hidden" r:id="rId44"/>
    <sheet name="MantGeneral" sheetId="14" state="hidden" r:id="rId45"/>
    <sheet name="MantGeneral2" sheetId="15" state="hidden" r:id="rId46"/>
    <sheet name="MantProtocolo" sheetId="17" state="hidden" r:id="rId47"/>
    <sheet name="Empleados" sheetId="22" state="hidden" r:id="rId48"/>
    <sheet name="EmpleadosHab" sheetId="25" state="hidden" r:id="rId49"/>
    <sheet name="MantProtocolo2" sheetId="16" state="hidden" r:id="rId50"/>
    <sheet name="MantReglas" sheetId="19" state="hidden" r:id="rId51"/>
    <sheet name="DataEntryArea1" sheetId="20" state="hidden" r:id="rId52"/>
    <sheet name="DataEntryArea2" sheetId="21" state="hidden" r:id="rId53"/>
  </sheets>
  <externalReferences>
    <externalReference r:id="rId54"/>
    <externalReference r:id="rId55"/>
  </externalReferences>
  <definedNames>
    <definedName name="_xlnm._FilterDatabase" localSheetId="11" hidden="1">'MANT-PARAM'!$D$23:$D$24</definedName>
    <definedName name="_xlnm._FilterDatabase" localSheetId="10" hidden="1">SEGURIDAD!$B$11:$B$17</definedName>
    <definedName name="Accesodisp">SEGURIDAD!$B$11:$B$15</definedName>
    <definedName name="Accesos">SEGURIDAD!$E$12:$E$22</definedName>
    <definedName name="ACCESOSASIG">SEGURIDAD!$B$12:$B$17</definedName>
    <definedName name="ACCESOSDISP">SEGURIDAD!$B$12:$B$17</definedName>
    <definedName name="Consideraciones" localSheetId="21">[1]!TConsideraciones[Columna1]</definedName>
    <definedName name="Consideraciones" localSheetId="20">[2]!TConsideraciones[Columna1]</definedName>
    <definedName name="Consideraciones">TConsideraciones[Columna1]</definedName>
    <definedName name="dd">Tabla66[Columna1]</definedName>
    <definedName name="EstadoLista">'MANT-PARAM'!$D$22:$D$24</definedName>
    <definedName name="familainicio">Tabla66[Columna1]</definedName>
    <definedName name="familiaagregado">Tabla68[Columna1]</definedName>
    <definedName name="Familiainicial">Tabla66[Columna1]</definedName>
    <definedName name="lineashabilitadas" localSheetId="21">[1]!lineasnuevo66[Columna1]</definedName>
    <definedName name="lineashabilitadas">lineasnuevo66[Columna1]</definedName>
    <definedName name="PROTO">'MANT-PARAM'!$I$101:$M$108</definedName>
    <definedName name="PROTOCO" localSheetId="21">[1]!Tabla4[#All]</definedName>
    <definedName name="PROTOCO">Tabla4[#All]</definedName>
    <definedName name="PROTOCOLO" localSheetId="21">[1]!Tabla4[#All]</definedName>
    <definedName name="PROTOCOLO">Tabla4[#All]</definedName>
    <definedName name="RareaExistente">Table70[[#All],[AreasExistentes]]</definedName>
    <definedName name="varhabilitada">'MANT-PARAM'!$G$45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3" l="1"/>
  <c r="F5" i="13"/>
  <c r="D5" i="13"/>
  <c r="E5" i="13" s="1"/>
</calcChain>
</file>

<file path=xl/sharedStrings.xml><?xml version="1.0" encoding="utf-8"?>
<sst xmlns="http://schemas.openxmlformats.org/spreadsheetml/2006/main" count="1699" uniqueCount="637">
  <si>
    <t>PERFILES</t>
  </si>
  <si>
    <t>MOD-PERFIL GERENCIAL</t>
  </si>
  <si>
    <t>PERMISOS</t>
  </si>
  <si>
    <t>Daño de producto</t>
  </si>
  <si>
    <t>No enciende</t>
  </si>
  <si>
    <t>No capta señal</t>
  </si>
  <si>
    <t>No carga bateria</t>
  </si>
  <si>
    <t>No reconoce red</t>
  </si>
  <si>
    <t>CATEGORIZACION CLIENTE</t>
  </si>
  <si>
    <t>Valor medio-compras</t>
  </si>
  <si>
    <t>Segmento ingreso-prom</t>
  </si>
  <si>
    <t>Zona de residencia</t>
  </si>
  <si>
    <t>Columna1</t>
  </si>
  <si>
    <t>CONDCIONES</t>
  </si>
  <si>
    <t>Condicion</t>
  </si>
  <si>
    <t xml:space="preserve">Parametro </t>
  </si>
  <si>
    <t xml:space="preserve">Operador </t>
  </si>
  <si>
    <t>Variable</t>
  </si>
  <si>
    <t>AccionV</t>
  </si>
  <si>
    <t>AccionF</t>
  </si>
  <si>
    <t>CND1</t>
  </si>
  <si>
    <t>CND2</t>
  </si>
  <si>
    <t>No aplica</t>
  </si>
  <si>
    <t>&lt;=</t>
  </si>
  <si>
    <t>&gt;</t>
  </si>
  <si>
    <t>met1</t>
  </si>
  <si>
    <t>CND3</t>
  </si>
  <si>
    <t>NroVeces</t>
  </si>
  <si>
    <t>SISTEMA DE RECLAMOS</t>
  </si>
  <si>
    <t>DISEÑO ARQUITECTONICO - MODULOS TIPICOS</t>
  </si>
  <si>
    <t>Perfil empresa</t>
  </si>
  <si>
    <t>Tipo Reclamo</t>
  </si>
  <si>
    <t>Tipo Bien</t>
  </si>
  <si>
    <t>Tipo Producto</t>
  </si>
  <si>
    <t>Item</t>
  </si>
  <si>
    <t>Marca</t>
  </si>
  <si>
    <t>Modelo</t>
  </si>
  <si>
    <t>Tipo Problema</t>
  </si>
  <si>
    <t>Problema</t>
  </si>
  <si>
    <t>Tipo Garantia</t>
  </si>
  <si>
    <t>garantia</t>
  </si>
  <si>
    <t>Cod_garantia</t>
  </si>
  <si>
    <t>Id_Tipo_Reclamo</t>
  </si>
  <si>
    <t>Tipo_Bien</t>
  </si>
  <si>
    <t>Tipo_producto</t>
  </si>
  <si>
    <t>Tipo_Cliente</t>
  </si>
  <si>
    <t>Tipo Solucion</t>
  </si>
  <si>
    <t>Solucion</t>
  </si>
  <si>
    <t>cod_solucion</t>
  </si>
  <si>
    <t>Parametro</t>
  </si>
  <si>
    <t>Operador</t>
  </si>
  <si>
    <t>Accion_V</t>
  </si>
  <si>
    <t>Accion_F</t>
  </si>
  <si>
    <t>cod_met</t>
  </si>
  <si>
    <t>descripcion</t>
  </si>
  <si>
    <t>cod_metodo</t>
  </si>
  <si>
    <t>variable</t>
  </si>
  <si>
    <t>secuencia</t>
  </si>
  <si>
    <t>operador</t>
  </si>
  <si>
    <t>Producto</t>
  </si>
  <si>
    <t>Electrodomestico</t>
  </si>
  <si>
    <t>Lavadora</t>
  </si>
  <si>
    <t>LavaWash</t>
  </si>
  <si>
    <t>L1</t>
  </si>
  <si>
    <t>Fallo de funcionamiento</t>
  </si>
  <si>
    <t>Legal</t>
  </si>
  <si>
    <t>Identificarse al pagar con tarjeta</t>
  </si>
  <si>
    <t>G001</t>
  </si>
  <si>
    <t>producto</t>
  </si>
  <si>
    <t>celular</t>
  </si>
  <si>
    <t>LG</t>
  </si>
  <si>
    <t>G5</t>
  </si>
  <si>
    <t>No carga</t>
  </si>
  <si>
    <t>Implicito</t>
  </si>
  <si>
    <t>Ordinario</t>
  </si>
  <si>
    <t>Reembolso</t>
  </si>
  <si>
    <t>S001</t>
  </si>
  <si>
    <t>=</t>
  </si>
  <si>
    <t>S006</t>
  </si>
  <si>
    <t>Respuesta_Reclamo</t>
  </si>
  <si>
    <t>Inicializa</t>
  </si>
  <si>
    <t>Arrocera</t>
  </si>
  <si>
    <t>Oster</t>
  </si>
  <si>
    <t>A1</t>
  </si>
  <si>
    <t>Explicito</t>
  </si>
  <si>
    <t>Sistema Hidraulico de frenos</t>
  </si>
  <si>
    <t>G002</t>
  </si>
  <si>
    <t>Intercambio</t>
  </si>
  <si>
    <t>S002</t>
  </si>
  <si>
    <t>Fecha_Reclamo-Fecha_Entrega_Producto</t>
  </si>
  <si>
    <t>Tiempo_Garantia</t>
  </si>
  <si>
    <t>S003</t>
  </si>
  <si>
    <t>met2</t>
  </si>
  <si>
    <t>Solucion_Reclamo = Reparacion</t>
  </si>
  <si>
    <t>Solucion_Reclamo</t>
  </si>
  <si>
    <t>Asigna</t>
  </si>
  <si>
    <t>Licuadora</t>
  </si>
  <si>
    <t>Lc1</t>
  </si>
  <si>
    <t>Contiene mod a eleccion</t>
  </si>
  <si>
    <t>G003</t>
  </si>
  <si>
    <t>Reparacion</t>
  </si>
  <si>
    <t>si_tiene_servicio_tecnico</t>
  </si>
  <si>
    <t>servicio_tecnico_marca</t>
  </si>
  <si>
    <t>met3</t>
  </si>
  <si>
    <t>Solucion_Reclamo = Intercambio</t>
  </si>
  <si>
    <t>inicializa</t>
  </si>
  <si>
    <t>Electronicos</t>
  </si>
  <si>
    <t>Tv</t>
  </si>
  <si>
    <t>TvP1</t>
  </si>
  <si>
    <t>No funciona pantalla</t>
  </si>
  <si>
    <t>No Posee garantia</t>
  </si>
  <si>
    <t>G004</t>
  </si>
  <si>
    <t>S004</t>
  </si>
  <si>
    <t>Servicio</t>
  </si>
  <si>
    <t>Delivery</t>
  </si>
  <si>
    <t>Ante Daño de producto</t>
  </si>
  <si>
    <t>G005</t>
  </si>
  <si>
    <t>Volver a hacer</t>
  </si>
  <si>
    <t>S005</t>
  </si>
  <si>
    <t>Falla de componente</t>
  </si>
  <si>
    <t>No suena parlantes</t>
  </si>
  <si>
    <t>Ante fallo de funcionamiento</t>
  </si>
  <si>
    <t>G006</t>
  </si>
  <si>
    <t>Limpieza</t>
  </si>
  <si>
    <t>No funciona lente</t>
  </si>
  <si>
    <t>Ante Fallo de componente</t>
  </si>
  <si>
    <t>G007</t>
  </si>
  <si>
    <t>Laptops</t>
  </si>
  <si>
    <t>HP</t>
  </si>
  <si>
    <t>Omen</t>
  </si>
  <si>
    <t>No funciona puerto</t>
  </si>
  <si>
    <t>Celular</t>
  </si>
  <si>
    <t>Pantalla rajada</t>
  </si>
  <si>
    <t>Tablets</t>
  </si>
  <si>
    <t>Apple</t>
  </si>
  <si>
    <t>iPad3</t>
  </si>
  <si>
    <t>Abolladura externa</t>
  </si>
  <si>
    <t>Cable roto</t>
  </si>
  <si>
    <t>Falta componente</t>
  </si>
  <si>
    <t>Incumplimiento de garantia especifica</t>
  </si>
  <si>
    <t>g1</t>
  </si>
  <si>
    <t>g2</t>
  </si>
  <si>
    <t>g3</t>
  </si>
  <si>
    <t>dinero</t>
  </si>
  <si>
    <t>Incumplimiento de Ley</t>
  </si>
  <si>
    <t>Ley1</t>
  </si>
  <si>
    <t>Ley2</t>
  </si>
  <si>
    <t>Ley3</t>
  </si>
  <si>
    <t>METODOS</t>
  </si>
  <si>
    <t>CodMetod</t>
  </si>
  <si>
    <t>Descripcion</t>
  </si>
  <si>
    <t>RangMin</t>
  </si>
  <si>
    <t>RangMax</t>
  </si>
  <si>
    <t>formulas</t>
  </si>
  <si>
    <t>CodMetodo</t>
  </si>
  <si>
    <t>Secuencia</t>
  </si>
  <si>
    <t>ValorItercCompra</t>
  </si>
  <si>
    <t>PesoConsider</t>
  </si>
  <si>
    <t>Multiplica</t>
  </si>
  <si>
    <t>Iteraccion_compras = ValorItercCompra*PesoConsider</t>
  </si>
  <si>
    <t>Iteraccion_compras</t>
  </si>
  <si>
    <t>Segmento ingreso_prom</t>
  </si>
  <si>
    <t>Valor medio_compras</t>
  </si>
  <si>
    <t>Tipo_problema</t>
  </si>
  <si>
    <t>Canal</t>
  </si>
  <si>
    <t>electronico</t>
  </si>
  <si>
    <t>Falla de funcionamiento</t>
  </si>
  <si>
    <t>Web</t>
  </si>
  <si>
    <t>items</t>
  </si>
  <si>
    <t>itemshabilitados</t>
  </si>
  <si>
    <t>Refrigeradora</t>
  </si>
  <si>
    <t>PROTOCOLO - REALIZAR INFORME RECLAMO</t>
  </si>
  <si>
    <t>Area</t>
  </si>
  <si>
    <t>Produccion</t>
  </si>
  <si>
    <t>Intercambio Equipo</t>
  </si>
  <si>
    <t>Intercambio Componente</t>
  </si>
  <si>
    <t>Reparacion Equipo</t>
  </si>
  <si>
    <t>Reparacion Componente</t>
  </si>
  <si>
    <t>Especialista Area</t>
  </si>
  <si>
    <t>Asistente de Produccion</t>
  </si>
  <si>
    <t>Garantia</t>
  </si>
  <si>
    <t>ID_Producto</t>
  </si>
  <si>
    <t>Tipo_Cola</t>
  </si>
  <si>
    <t>Tipo Canal</t>
  </si>
  <si>
    <t>Internet</t>
  </si>
  <si>
    <t>Reembolso Parcial</t>
  </si>
  <si>
    <t>Reembolso Total</t>
  </si>
  <si>
    <t>Vip</t>
  </si>
  <si>
    <t>Cobro</t>
  </si>
  <si>
    <t>Telefonico</t>
  </si>
  <si>
    <t>Posee Reembolso</t>
  </si>
  <si>
    <t>G008</t>
  </si>
  <si>
    <t>Maximo_Iteraciones1</t>
  </si>
  <si>
    <t>&lt;</t>
  </si>
  <si>
    <t>ITER_COMUNICACION_AREA</t>
  </si>
  <si>
    <t>CALIFICACION_AREA = CALIFICACION_RESPONSABILIDAD1</t>
  </si>
  <si>
    <t>CALIFICACION_RESPONSABILIDAD1</t>
  </si>
  <si>
    <t>Maximo_Iteraciones2</t>
  </si>
  <si>
    <t>CALIFICACION_AREA = CALIFICACION_RESPONSABILIDAD2</t>
  </si>
  <si>
    <t>CALIFICACION_AREA</t>
  </si>
  <si>
    <t>Maximo_Iteraciones3</t>
  </si>
  <si>
    <t>CALIFICACION_AREA = CALIFICACION_RESPONSABILIDAD3</t>
  </si>
  <si>
    <t>CALIFICACION_RESPONSABILIDAD2</t>
  </si>
  <si>
    <t>CALIFICACION_RESPONSABILIDAD3</t>
  </si>
  <si>
    <t>Nuevo</t>
  </si>
  <si>
    <t>Tipo_Canal</t>
  </si>
  <si>
    <t>unidad_Tiempo</t>
  </si>
  <si>
    <t>Parcial</t>
  </si>
  <si>
    <t>Presencial</t>
  </si>
  <si>
    <t>Areas</t>
  </si>
  <si>
    <t>Minutos</t>
  </si>
  <si>
    <t>Total</t>
  </si>
  <si>
    <t>Horas</t>
  </si>
  <si>
    <t>Total de equipo</t>
  </si>
  <si>
    <t>Ventas</t>
  </si>
  <si>
    <t>Dias</t>
  </si>
  <si>
    <t>Tipo_reclamo</t>
  </si>
  <si>
    <t>Componente</t>
  </si>
  <si>
    <t>Logistica</t>
  </si>
  <si>
    <t>Semanas</t>
  </si>
  <si>
    <t>Id_producto</t>
  </si>
  <si>
    <t>Equipo</t>
  </si>
  <si>
    <t>Meses</t>
  </si>
  <si>
    <t>PROTOCOLO - TIPOS DE RECLAMOS</t>
  </si>
  <si>
    <t>Electrodomesticos</t>
  </si>
  <si>
    <t>Demora</t>
  </si>
  <si>
    <t>Servicios Tangibles</t>
  </si>
  <si>
    <t>Instancia Duplicada</t>
  </si>
  <si>
    <t>Diseño Erroneo</t>
  </si>
  <si>
    <t>Daño</t>
  </si>
  <si>
    <t>Mal estado</t>
  </si>
  <si>
    <t>Coumna2</t>
  </si>
  <si>
    <t>Comestibles</t>
  </si>
  <si>
    <t>Tipo de Bien</t>
  </si>
  <si>
    <t>Textiles</t>
  </si>
  <si>
    <t>Papel, Carton e Impresos</t>
  </si>
  <si>
    <t>Quimicos y Conexos</t>
  </si>
  <si>
    <t>Prendas de Vestir</t>
  </si>
  <si>
    <t>Traje</t>
  </si>
  <si>
    <t>Camisa</t>
  </si>
  <si>
    <t xml:space="preserve">Pantalon </t>
  </si>
  <si>
    <t>Abrigos</t>
  </si>
  <si>
    <t>Corbata</t>
  </si>
  <si>
    <t>Chaqueta</t>
  </si>
  <si>
    <t>General</t>
  </si>
  <si>
    <t>Reclamos</t>
  </si>
  <si>
    <t>Bienes</t>
  </si>
  <si>
    <t>Problemas</t>
  </si>
  <si>
    <t>Categorizacion Cliente</t>
  </si>
  <si>
    <t>Agrear productos a las lineas</t>
  </si>
  <si>
    <t>Agregar lineas para los bienes</t>
  </si>
  <si>
    <t>Operaciones</t>
  </si>
  <si>
    <t>PostVenta</t>
  </si>
  <si>
    <t>Espec1</t>
  </si>
  <si>
    <t>Espec2</t>
  </si>
  <si>
    <t>Espec3</t>
  </si>
  <si>
    <t>Espec4</t>
  </si>
  <si>
    <t>Nacional</t>
  </si>
  <si>
    <t>Multinacional</t>
  </si>
  <si>
    <t>Internacional</t>
  </si>
  <si>
    <t>Lima</t>
  </si>
  <si>
    <t>Lima y Callao</t>
  </si>
  <si>
    <t>Lima y Provincias</t>
  </si>
  <si>
    <t>LOC1</t>
  </si>
  <si>
    <t>LOC2</t>
  </si>
  <si>
    <t>LOC3</t>
  </si>
  <si>
    <t>Español</t>
  </si>
  <si>
    <t xml:space="preserve">Ingles </t>
  </si>
  <si>
    <t>Quechua</t>
  </si>
  <si>
    <t>PROTOCOLO - TIPOS DE PROBLEMAS</t>
  </si>
  <si>
    <t>Mal funcionamiento</t>
  </si>
  <si>
    <t>Falta de Componentes</t>
  </si>
  <si>
    <t>Golpe</t>
  </si>
  <si>
    <t>Rotura</t>
  </si>
  <si>
    <t>Decoloracion</t>
  </si>
  <si>
    <t>Abolladura</t>
  </si>
  <si>
    <t>Falta Control</t>
  </si>
  <si>
    <t>No detecta internet</t>
  </si>
  <si>
    <t>No detecta señal digital</t>
  </si>
  <si>
    <t>Falta auriculares</t>
  </si>
  <si>
    <t xml:space="preserve">Falta cables </t>
  </si>
  <si>
    <t>Falta cargador</t>
  </si>
  <si>
    <t>Rayadura</t>
  </si>
  <si>
    <t>Color asimetrico</t>
  </si>
  <si>
    <t>Falta de componentes</t>
  </si>
  <si>
    <t>Falta estuche</t>
  </si>
  <si>
    <t>Moreno Guadamur, Juan José</t>
  </si>
  <si>
    <t>Integrantes:</t>
  </si>
  <si>
    <t>Cliente</t>
  </si>
  <si>
    <t>Gerente General</t>
  </si>
  <si>
    <t xml:space="preserve"> </t>
  </si>
  <si>
    <t>Administrador de BD</t>
  </si>
  <si>
    <t>Administrador de Seguridad</t>
  </si>
  <si>
    <t>Especialista</t>
  </si>
  <si>
    <t>Seguridad</t>
  </si>
  <si>
    <t>Catálogo de Productos</t>
  </si>
  <si>
    <t>Catálogo de Bienes</t>
  </si>
  <si>
    <t>Catálogo de Problemas</t>
  </si>
  <si>
    <t>Catálogo de Protocolos</t>
  </si>
  <si>
    <t>Catálogo de Reglas</t>
  </si>
  <si>
    <t>Catálogo de Políticas</t>
  </si>
  <si>
    <t>Accesos</t>
  </si>
  <si>
    <t>Catálogo de Politica</t>
  </si>
  <si>
    <t>Estadisticas</t>
  </si>
  <si>
    <t>Reportes</t>
  </si>
  <si>
    <t>Categorización Cliente</t>
  </si>
  <si>
    <t>Tipo de Problemas</t>
  </si>
  <si>
    <t>Funcionalidad</t>
  </si>
  <si>
    <t>Cobranza</t>
  </si>
  <si>
    <t>Tipo de Problema</t>
  </si>
  <si>
    <t>Familia</t>
  </si>
  <si>
    <t>Clase</t>
  </si>
  <si>
    <t>Bien</t>
  </si>
  <si>
    <t>Dispositivos De Comunicaciones Y Accesorios</t>
  </si>
  <si>
    <t>Dispositivos De Comunicación Personal</t>
  </si>
  <si>
    <t>Telefono Movil</t>
  </si>
  <si>
    <t xml:space="preserve">Telefono Fijo </t>
  </si>
  <si>
    <t>Máquinas Contestadoras</t>
  </si>
  <si>
    <t>Teléfonos Digitales</t>
  </si>
  <si>
    <t>Teléfonos Análogos</t>
  </si>
  <si>
    <t>Telefono Ip</t>
  </si>
  <si>
    <t>Dispositivo Semiconductor Discreto</t>
  </si>
  <si>
    <t>Diodos</t>
  </si>
  <si>
    <t>Cinta De Ductos</t>
  </si>
  <si>
    <t>Cinta Aislante Eléctrica</t>
  </si>
  <si>
    <t>Equipo Informático Y Accesorios</t>
  </si>
  <si>
    <t>Computadores</t>
  </si>
  <si>
    <t>Servidores De Computador</t>
  </si>
  <si>
    <t>Accesorios De Computador</t>
  </si>
  <si>
    <t>Parlantes De Computador</t>
  </si>
  <si>
    <t>Monitores Y Pantallas De Computador</t>
  </si>
  <si>
    <t>Monitores De Pantalla Táctil (Touch)</t>
  </si>
  <si>
    <t>Impresoras De Computador</t>
  </si>
  <si>
    <t>Impresoras Láser</t>
  </si>
  <si>
    <t>Teléfonos Móviles</t>
  </si>
  <si>
    <t>Teléfonos Fijos</t>
  </si>
  <si>
    <t>Servidores De Computador De Gama Alta</t>
  </si>
  <si>
    <t>Computadores Notebook</t>
  </si>
  <si>
    <t>Asistentes Personales Digitales Pda U Organizadores</t>
  </si>
  <si>
    <t>Terminal De Punto De Venta Pos</t>
  </si>
  <si>
    <t>Computadores De Cliente Ligero</t>
  </si>
  <si>
    <t>Computadores De Escritorio</t>
  </si>
  <si>
    <t xml:space="preserve">Reasignacion de Area </t>
  </si>
  <si>
    <t xml:space="preserve">Entrega del producto </t>
  </si>
  <si>
    <t>Seguimiento solucion</t>
  </si>
  <si>
    <t>Ninguna</t>
  </si>
  <si>
    <t xml:space="preserve">Presencial </t>
  </si>
  <si>
    <t>Ninguno</t>
  </si>
  <si>
    <t xml:space="preserve">Estandar </t>
  </si>
  <si>
    <t>Unico</t>
  </si>
  <si>
    <t>Exhaustivo</t>
  </si>
  <si>
    <t>Frecuente</t>
  </si>
  <si>
    <t>indicadores</t>
  </si>
  <si>
    <t>nivel de satisfaccion del cliente</t>
  </si>
  <si>
    <t>tiempo promedio de solucion por reclamo</t>
  </si>
  <si>
    <t>tipo de bienes mas reclamados</t>
  </si>
  <si>
    <t>áreas con mayor demanda de reclamo</t>
  </si>
  <si>
    <t>numeros de reclamos por clase de producto</t>
  </si>
  <si>
    <t>costo por atencion de reclamo</t>
  </si>
  <si>
    <t>numero de rotacion de especialitas por reclamo</t>
  </si>
  <si>
    <t>% de reclamos en un mes</t>
  </si>
  <si>
    <t>% de reclamos criticos</t>
  </si>
  <si>
    <t>porcentaje de reclamos solucionados fuera de plazo</t>
  </si>
  <si>
    <t>eficiencia de reclamo por tipo de bien</t>
  </si>
  <si>
    <t>lineas para equipo informatico</t>
  </si>
  <si>
    <t>Dispositivos Informáticos De Entrada De Datos</t>
  </si>
  <si>
    <t>lineas nuevo</t>
  </si>
  <si>
    <t>Computadores Centrales</t>
  </si>
  <si>
    <t>lineas habilitadas</t>
  </si>
  <si>
    <t>Segmento</t>
  </si>
  <si>
    <t xml:space="preserve">Segmento </t>
  </si>
  <si>
    <t>Difusión De Tecnologías De Información Y Telecomunicaciones</t>
  </si>
  <si>
    <t>Componentes Y Suministros Electrónicos</t>
  </si>
  <si>
    <t>Muebles, Mobiliario Y Decoración</t>
  </si>
  <si>
    <t>Muebles De Alojamiento</t>
  </si>
  <si>
    <t>Muebles</t>
  </si>
  <si>
    <t>Stands</t>
  </si>
  <si>
    <t>Sofás</t>
  </si>
  <si>
    <t>Software</t>
  </si>
  <si>
    <t>Componentes Para Tecnología De La Información, Difusión O Telecomunicaciones</t>
  </si>
  <si>
    <t>familia de difusion de tecnologias</t>
  </si>
  <si>
    <t>Alimentos, Bebidas Y Tabaco</t>
  </si>
  <si>
    <t>Herramientas Y Maquinaria General</t>
  </si>
  <si>
    <t>Producto equivocado</t>
  </si>
  <si>
    <t>El sensor no reconoce</t>
  </si>
  <si>
    <t>Instalacion_producto</t>
  </si>
  <si>
    <t>Material equivocado</t>
  </si>
  <si>
    <t>No reconoce sim</t>
  </si>
  <si>
    <t>Parte_de_producto</t>
  </si>
  <si>
    <t>Material defectuoso</t>
  </si>
  <si>
    <t>Entrada de cargador dañada</t>
  </si>
  <si>
    <t>Empaque dañado</t>
  </si>
  <si>
    <t>Funcionamiento</t>
  </si>
  <si>
    <t>Boton de volumen duro</t>
  </si>
  <si>
    <t>No capta señal de red</t>
  </si>
  <si>
    <t>Empaque no sellado</t>
  </si>
  <si>
    <t>Entrega_de_producto</t>
  </si>
  <si>
    <t>Mala instalacion</t>
  </si>
  <si>
    <t>Carcasa con mal acabado</t>
  </si>
  <si>
    <t>Doble facturacion</t>
  </si>
  <si>
    <t>Cobro_de_producto</t>
  </si>
  <si>
    <t>Mal trato</t>
  </si>
  <si>
    <t>Pantalla rayada</t>
  </si>
  <si>
    <t>No funciona camara</t>
  </si>
  <si>
    <t>Mal trato del curier</t>
  </si>
  <si>
    <t>Facturacion demas</t>
  </si>
  <si>
    <t>Atencion</t>
  </si>
  <si>
    <t>INSTALACION_PRODUCTO</t>
  </si>
  <si>
    <t>PARTE DE PRODUCTO</t>
  </si>
  <si>
    <t>FUNCIONAMIENTO</t>
  </si>
  <si>
    <t>ENTREGA DE PRODUCTO</t>
  </si>
  <si>
    <t>COBRO DE PRODUCTO</t>
  </si>
  <si>
    <t>ATENCION</t>
  </si>
  <si>
    <t>TIPO_PROBLEMA</t>
  </si>
  <si>
    <t>Mark29</t>
  </si>
  <si>
    <t>PROD029</t>
  </si>
  <si>
    <t>Mark28</t>
  </si>
  <si>
    <t>Equipo de comunicación</t>
  </si>
  <si>
    <t>PROD028</t>
  </si>
  <si>
    <t>Mark27</t>
  </si>
  <si>
    <t>Equipo electronico</t>
  </si>
  <si>
    <t>PROD027</t>
  </si>
  <si>
    <t>COMP012</t>
  </si>
  <si>
    <t>Mark26</t>
  </si>
  <si>
    <t>Herramienta de construccion</t>
  </si>
  <si>
    <t>PROD026</t>
  </si>
  <si>
    <t>Mark25</t>
  </si>
  <si>
    <t>PROD025</t>
  </si>
  <si>
    <t>Mark24</t>
  </si>
  <si>
    <t>PROD024</t>
  </si>
  <si>
    <t>COMP011</t>
  </si>
  <si>
    <t>Mark23</t>
  </si>
  <si>
    <t>PROD023</t>
  </si>
  <si>
    <t>Mark22</t>
  </si>
  <si>
    <t>PROD022</t>
  </si>
  <si>
    <t>COMP010</t>
  </si>
  <si>
    <t>Mark21</t>
  </si>
  <si>
    <t>PROD021</t>
  </si>
  <si>
    <t>Mark20</t>
  </si>
  <si>
    <t>PROD020</t>
  </si>
  <si>
    <t>Mark19</t>
  </si>
  <si>
    <t>PROD019</t>
  </si>
  <si>
    <t>COMP009</t>
  </si>
  <si>
    <t>CLIEN003</t>
  </si>
  <si>
    <t>Mark18</t>
  </si>
  <si>
    <t>Servicio restaurant</t>
  </si>
  <si>
    <t>PROD018</t>
  </si>
  <si>
    <t>COMP008</t>
  </si>
  <si>
    <t>Mark17</t>
  </si>
  <si>
    <t>Servicio Instalacion</t>
  </si>
  <si>
    <t>PROD017</t>
  </si>
  <si>
    <t>Mark16</t>
  </si>
  <si>
    <t>PROD016</t>
  </si>
  <si>
    <t>Mark15</t>
  </si>
  <si>
    <t>PROD015</t>
  </si>
  <si>
    <t>COMP007</t>
  </si>
  <si>
    <t>Mark14</t>
  </si>
  <si>
    <t>PROD014</t>
  </si>
  <si>
    <t>Mark13</t>
  </si>
  <si>
    <t>PROD013</t>
  </si>
  <si>
    <t>COMP006</t>
  </si>
  <si>
    <t>Mark12</t>
  </si>
  <si>
    <t>PROD012</t>
  </si>
  <si>
    <t>Mark11</t>
  </si>
  <si>
    <t>PROD011</t>
  </si>
  <si>
    <t>Mark10</t>
  </si>
  <si>
    <t>PROD010</t>
  </si>
  <si>
    <t>COMP005</t>
  </si>
  <si>
    <t>CLIEN002</t>
  </si>
  <si>
    <t>Mark9</t>
  </si>
  <si>
    <t>PROD009</t>
  </si>
  <si>
    <t>COMP004</t>
  </si>
  <si>
    <t>Mark8</t>
  </si>
  <si>
    <t>PROD008</t>
  </si>
  <si>
    <t>Mark7</t>
  </si>
  <si>
    <t>PROD007</t>
  </si>
  <si>
    <t>Mark6</t>
  </si>
  <si>
    <t>PROD006</t>
  </si>
  <si>
    <t>COMP003</t>
  </si>
  <si>
    <t>Mark5</t>
  </si>
  <si>
    <t>PROD005</t>
  </si>
  <si>
    <t>Mark4</t>
  </si>
  <si>
    <t>PROD004</t>
  </si>
  <si>
    <t>COMP002</t>
  </si>
  <si>
    <t>Problema:</t>
  </si>
  <si>
    <t>Mark3</t>
  </si>
  <si>
    <t>PROD003</t>
  </si>
  <si>
    <t>Tipo de Problema:</t>
  </si>
  <si>
    <t>Mark2</t>
  </si>
  <si>
    <t>PROD002</t>
  </si>
  <si>
    <t>Producto:</t>
  </si>
  <si>
    <t>Mark1</t>
  </si>
  <si>
    <t>PROD001</t>
  </si>
  <si>
    <t>COMP001</t>
  </si>
  <si>
    <t>CLIEN001</t>
  </si>
  <si>
    <t>VIP</t>
  </si>
  <si>
    <t>Nro de Compra:</t>
  </si>
  <si>
    <t>PROBLEMA</t>
  </si>
  <si>
    <t>ID_PRODUCTO</t>
  </si>
  <si>
    <t>Nro_COMPRA</t>
  </si>
  <si>
    <t>ID_CLIENTE</t>
  </si>
  <si>
    <t>DNI/RUC</t>
  </si>
  <si>
    <t>TIPO</t>
  </si>
  <si>
    <t>Datos Reclamo</t>
  </si>
  <si>
    <t>michaelbc.141@gmail.com</t>
  </si>
  <si>
    <t>e-mail:</t>
  </si>
  <si>
    <t>Michael Skinner Brito Calero</t>
  </si>
  <si>
    <t>Nombre:</t>
  </si>
  <si>
    <t>MARCA</t>
  </si>
  <si>
    <t>TIPO_PRODUCTO</t>
  </si>
  <si>
    <t>TIPO_CLIENTE</t>
  </si>
  <si>
    <t>DNI/RUC:</t>
  </si>
  <si>
    <t>Datos Cliente</t>
  </si>
  <si>
    <t>FORMULARIO RECLAMO</t>
  </si>
  <si>
    <t>Provisional</t>
  </si>
  <si>
    <t>Final</t>
  </si>
  <si>
    <t>Columna2</t>
  </si>
  <si>
    <t>Columna3</t>
  </si>
  <si>
    <t>Columna4</t>
  </si>
  <si>
    <t>Columna5</t>
  </si>
  <si>
    <t>Inspeccion del producto</t>
  </si>
  <si>
    <t>Solucion del problema</t>
  </si>
  <si>
    <t>IdReclamo</t>
  </si>
  <si>
    <t>Fecha de emision</t>
  </si>
  <si>
    <t>Estado</t>
  </si>
  <si>
    <t xml:space="preserve">Fecha de Atencion </t>
  </si>
  <si>
    <t>Hora de Atencion</t>
  </si>
  <si>
    <t>R001</t>
  </si>
  <si>
    <t>En cola</t>
  </si>
  <si>
    <t xml:space="preserve">En atencion </t>
  </si>
  <si>
    <t>Entregado</t>
  </si>
  <si>
    <t>R002</t>
  </si>
  <si>
    <t>R003</t>
  </si>
  <si>
    <t>R004</t>
  </si>
  <si>
    <t>R005</t>
  </si>
  <si>
    <t>Atendido</t>
  </si>
  <si>
    <t>Donde modificar el tiempo de solucion</t>
  </si>
  <si>
    <t>Habilitado</t>
  </si>
  <si>
    <t>Deshabilitado</t>
  </si>
  <si>
    <t>AreasExistentes</t>
  </si>
  <si>
    <t>AreasHabilitadas</t>
  </si>
  <si>
    <t>41-EQUIPOS Y SUMINISTROS DE LABORATORIO, DE MEDICIÓN, DE OBSERVACIÓN Y DE PRUEBAS</t>
  </si>
  <si>
    <t>42-EQUIPO MÉDICO, ACCESORIOS Y SUMINISTROS</t>
  </si>
  <si>
    <t>43-DIFUSIÓN DE TECNOLOGÍAS DE INFORMACIÓN Y TELECOMUNICACIONES</t>
  </si>
  <si>
    <t>44-EQUIPOS DE OFICINA, ACCESORIOS Y SUMINISTROS</t>
  </si>
  <si>
    <t>Personalizado</t>
  </si>
  <si>
    <t>Estandar</t>
  </si>
  <si>
    <t>Inspeccion Problema</t>
  </si>
  <si>
    <t>Tipo de Reclamo</t>
  </si>
  <si>
    <t>Reasignacion de Area</t>
  </si>
  <si>
    <t>Entrega Producto</t>
  </si>
  <si>
    <t>Seguimiento Solucion</t>
  </si>
  <si>
    <t>Exhaustiva</t>
  </si>
  <si>
    <t>Solucion del Problema</t>
  </si>
  <si>
    <t>EQUIPOS Y SUMINISTROS DE LABORATORIO, DE MEDICIÓN, DE OBSERVACIÓN Y DE PRUEBAS-Funcionalidad</t>
  </si>
  <si>
    <t>EQUIPO MÉDICO, ACCESORIOS Y SUMINISTROS-Cobranza</t>
  </si>
  <si>
    <t>DIFUSIÓN DE TECNOLOGÍAS DE INFORMACIÓN Y TELECOMUNICACIONES-Cobranza</t>
  </si>
  <si>
    <t>Reparable</t>
  </si>
  <si>
    <t>CND4</t>
  </si>
  <si>
    <t>Stock</t>
  </si>
  <si>
    <t>TiempoMin</t>
  </si>
  <si>
    <t>GT</t>
  </si>
  <si>
    <t>LT</t>
  </si>
  <si>
    <t>EQ</t>
  </si>
  <si>
    <t>Entero</t>
  </si>
  <si>
    <t>Logico</t>
  </si>
  <si>
    <t>Pago Adicional</t>
  </si>
  <si>
    <t>Correcion</t>
  </si>
  <si>
    <t>Area Tecnica de Reparación e Inspección</t>
  </si>
  <si>
    <t xml:space="preserve">Area Especializada </t>
  </si>
  <si>
    <t>Pendiente</t>
  </si>
  <si>
    <t>R010</t>
  </si>
  <si>
    <t>R011</t>
  </si>
  <si>
    <t>R012</t>
  </si>
  <si>
    <t>R013</t>
  </si>
  <si>
    <t>R014</t>
  </si>
  <si>
    <t>CodEmpleados</t>
  </si>
  <si>
    <t>E01</t>
  </si>
  <si>
    <t>E02</t>
  </si>
  <si>
    <t>E03</t>
  </si>
  <si>
    <t>E04</t>
  </si>
  <si>
    <t>E05</t>
  </si>
  <si>
    <t>E06</t>
  </si>
  <si>
    <t>CodEmpleadosHab</t>
  </si>
  <si>
    <t>Ambito</t>
  </si>
  <si>
    <t>InterNacional</t>
  </si>
  <si>
    <t>MultiNacional</t>
  </si>
  <si>
    <t>Sector</t>
  </si>
  <si>
    <t>Sectores</t>
  </si>
  <si>
    <t>Local</t>
  </si>
  <si>
    <t>Loc01</t>
  </si>
  <si>
    <t>Loc02</t>
  </si>
  <si>
    <t>Loc03</t>
  </si>
  <si>
    <t>Loc04</t>
  </si>
  <si>
    <t>Loc05</t>
  </si>
  <si>
    <t>Idiomas</t>
  </si>
  <si>
    <t>Ingles</t>
  </si>
  <si>
    <t>Tgarantia &gt; Ttranscurrido</t>
  </si>
  <si>
    <t>Equipos y suministros de Laboratorio y de Medición</t>
  </si>
  <si>
    <t>Equipo Medico, accesorios y suministros</t>
  </si>
  <si>
    <t>Difusión de tecnologia de información y Telecomunicaciones</t>
  </si>
  <si>
    <t>Equipos de oficina , accesorios y Suministros</t>
  </si>
  <si>
    <t>Entrega</t>
  </si>
  <si>
    <t>Atención</t>
  </si>
  <si>
    <t>Instalación</t>
  </si>
  <si>
    <t>Tipo ProblemaHab</t>
  </si>
  <si>
    <t>SegmentoHab</t>
  </si>
  <si>
    <t>Facturacion Doble</t>
  </si>
  <si>
    <t>No funciona Camara</t>
  </si>
  <si>
    <t>Bateria no Carga</t>
  </si>
  <si>
    <t>Error de Facturacion</t>
  </si>
  <si>
    <t>Fraude</t>
  </si>
  <si>
    <t>aa</t>
  </si>
  <si>
    <t>Doble Facturacion</t>
  </si>
  <si>
    <t>clientes</t>
  </si>
  <si>
    <t>SuperVip</t>
  </si>
  <si>
    <t>Clientes</t>
  </si>
  <si>
    <t>Consideracion</t>
  </si>
  <si>
    <t>Iteracion_compras</t>
  </si>
  <si>
    <t>Unica</t>
  </si>
  <si>
    <t>Equipos y suministros de Laboratorio y de Medición-Funcionalidad</t>
  </si>
  <si>
    <t>Equipo Medico, accesorios y suministros-Funcionalidad</t>
  </si>
  <si>
    <t>Difusión de tecnologia de información y Telecomunicaciones-Cobranza</t>
  </si>
  <si>
    <t>Difusión de tecnologia de información y Telecomunicaciones-Funcionalidad</t>
  </si>
  <si>
    <t>Tgarantia</t>
  </si>
  <si>
    <t>Ttranscurrido</t>
  </si>
  <si>
    <t>Precio</t>
  </si>
  <si>
    <t>Regla</t>
  </si>
  <si>
    <t>tiempo de respuesta</t>
  </si>
  <si>
    <t>estado de reclamo</t>
  </si>
  <si>
    <t>Reclamo</t>
  </si>
  <si>
    <t>Componentes Y Equipos Para Distribución Y Sistemas De Acondicionamiento</t>
  </si>
  <si>
    <t>Equipo Médico, Accesorios Y Suministros</t>
  </si>
  <si>
    <t>Equipos, Suministros Y Accesorios Para Deportes Y Recreación</t>
  </si>
  <si>
    <t>Maquinaria, Equipo Y Suministros Para La Industria De Servicios</t>
  </si>
  <si>
    <t>Equipos De Oficina, Accesorios Y Suministros</t>
  </si>
  <si>
    <t>sdsd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</si>
</sst>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/>
      <diagonal/>
    </border>
    <border>
      <left/>
      <right/>
      <top style="thin">
        <color theme="4" tint="0.39997558519241921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0" fillId="2" borderId="5" xfId="0" applyFill="1" applyBorder="1"/>
    <xf numFmtId="0" fontId="0" fillId="0" borderId="5" xfId="0" applyBorder="1"/>
    <xf numFmtId="0" fontId="0" fillId="2" borderId="6" xfId="0" applyFill="1" applyBorder="1"/>
    <xf numFmtId="0" fontId="0" fillId="0" borderId="6" xfId="0" applyBorder="1"/>
    <xf numFmtId="0" fontId="0" fillId="2" borderId="0" xfId="0" applyFill="1"/>
    <xf numFmtId="0" fontId="1" fillId="0" borderId="5" xfId="0" applyFont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3" fillId="3" borderId="2" xfId="0" applyFont="1" applyFill="1" applyBorder="1"/>
    <xf numFmtId="0" fontId="0" fillId="2" borderId="3" xfId="0" applyFill="1" applyBorder="1"/>
    <xf numFmtId="0" fontId="0" fillId="4" borderId="0" xfId="0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0" borderId="10" xfId="0" applyBorder="1"/>
    <xf numFmtId="0" fontId="0" fillId="2" borderId="11" xfId="0" applyFill="1" applyBorder="1"/>
    <xf numFmtId="0" fontId="0" fillId="0" borderId="12" xfId="0" applyBorder="1"/>
    <xf numFmtId="0" fontId="3" fillId="3" borderId="10" xfId="0" applyFont="1" applyFill="1" applyBorder="1"/>
    <xf numFmtId="0" fontId="3" fillId="0" borderId="10" xfId="0" applyFont="1" applyBorder="1"/>
    <xf numFmtId="0" fontId="0" fillId="2" borderId="22" xfId="0" applyFill="1" applyBorder="1"/>
    <xf numFmtId="0" fontId="4" fillId="6" borderId="0" xfId="0" applyFont="1" applyFill="1" applyAlignment="1">
      <alignment vertical="center"/>
    </xf>
    <xf numFmtId="0" fontId="4" fillId="6" borderId="1" xfId="0" applyFont="1" applyFill="1" applyBorder="1" applyAlignment="1">
      <alignment vertical="center"/>
    </xf>
    <xf numFmtId="0" fontId="0" fillId="2" borderId="2" xfId="0" applyFill="1" applyBorder="1"/>
    <xf numFmtId="0" fontId="4" fillId="6" borderId="23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4" fillId="0" borderId="28" xfId="0" applyFont="1" applyBorder="1" applyAlignment="1">
      <alignment vertical="center" wrapText="1"/>
    </xf>
    <xf numFmtId="0" fontId="5" fillId="0" borderId="28" xfId="0" applyFont="1" applyBorder="1" applyAlignment="1">
      <alignment horizontal="right" vertical="center" wrapText="1"/>
    </xf>
    <xf numFmtId="0" fontId="5" fillId="0" borderId="31" xfId="0" applyFont="1" applyBorder="1" applyAlignment="1">
      <alignment horizontal="right" vertical="center" wrapText="1"/>
    </xf>
    <xf numFmtId="14" fontId="0" fillId="0" borderId="0" xfId="0" applyNumberFormat="1"/>
    <xf numFmtId="18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8" fillId="2" borderId="10" xfId="0" applyFont="1" applyFill="1" applyBorder="1"/>
    <xf numFmtId="0" fontId="8" fillId="0" borderId="10" xfId="0" applyFont="1" applyBorder="1"/>
    <xf numFmtId="0" fontId="8" fillId="2" borderId="33" xfId="0" applyFont="1" applyFill="1" applyBorder="1"/>
    <xf numFmtId="0" fontId="8" fillId="0" borderId="33" xfId="0" applyFont="1" applyBorder="1"/>
    <xf numFmtId="14" fontId="8" fillId="2" borderId="1" xfId="0" applyNumberFormat="1" applyFont="1" applyFill="1" applyBorder="1"/>
    <xf numFmtId="0" fontId="8" fillId="2" borderId="1" xfId="0" applyFont="1" applyFill="1" applyBorder="1"/>
    <xf numFmtId="18" fontId="8" fillId="2" borderId="6" xfId="0" applyNumberFormat="1" applyFont="1" applyFill="1" applyBorder="1"/>
    <xf numFmtId="14" fontId="8" fillId="0" borderId="1" xfId="0" applyNumberFormat="1" applyFont="1" applyBorder="1"/>
    <xf numFmtId="0" fontId="8" fillId="0" borderId="1" xfId="0" applyFont="1" applyBorder="1"/>
    <xf numFmtId="18" fontId="8" fillId="0" borderId="6" xfId="0" applyNumberFormat="1" applyFont="1" applyBorder="1"/>
    <xf numFmtId="0" fontId="9" fillId="3" borderId="2" xfId="0" applyFont="1" applyFill="1" applyBorder="1"/>
    <xf numFmtId="0" fontId="9" fillId="3" borderId="35" xfId="0" applyFont="1" applyFill="1" applyBorder="1"/>
    <xf numFmtId="0" fontId="8" fillId="2" borderId="3" xfId="0" applyFont="1" applyFill="1" applyBorder="1"/>
    <xf numFmtId="14" fontId="8" fillId="2" borderId="3" xfId="0" applyNumberFormat="1" applyFont="1" applyFill="1" applyBorder="1"/>
    <xf numFmtId="18" fontId="8" fillId="2" borderId="34" xfId="0" applyNumberFormat="1" applyFont="1" applyFill="1" applyBorder="1"/>
    <xf numFmtId="0" fontId="0" fillId="0" borderId="11" xfId="0" applyBorder="1"/>
    <xf numFmtId="0" fontId="0" fillId="2" borderId="36" xfId="0" applyFill="1" applyBorder="1"/>
    <xf numFmtId="0" fontId="0" fillId="2" borderId="34" xfId="0" applyFill="1" applyBorder="1"/>
    <xf numFmtId="0" fontId="0" fillId="2" borderId="33" xfId="0" applyFill="1" applyBorder="1"/>
    <xf numFmtId="0" fontId="0" fillId="0" borderId="33" xfId="0" applyBorder="1"/>
    <xf numFmtId="0" fontId="8" fillId="2" borderId="0" xfId="0" applyFont="1" applyFill="1"/>
    <xf numFmtId="0" fontId="9" fillId="3" borderId="37" xfId="0" applyFont="1" applyFill="1" applyBorder="1"/>
    <xf numFmtId="0" fontId="8" fillId="0" borderId="3" xfId="0" applyFont="1" applyBorder="1"/>
    <xf numFmtId="0" fontId="0" fillId="5" borderId="13" xfId="0" applyFill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17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6" fillId="0" borderId="31" xfId="0" applyFont="1" applyBorder="1" applyAlignment="1">
      <alignment horizontal="left" vertical="center" wrapText="1"/>
    </xf>
    <xf numFmtId="0" fontId="6" fillId="0" borderId="30" xfId="0" applyFont="1" applyBorder="1" applyAlignment="1">
      <alignment horizontal="left" vertical="center" wrapText="1"/>
    </xf>
    <xf numFmtId="0" fontId="6" fillId="0" borderId="29" xfId="0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2" xfId="0" applyBorder="1" applyAlignment="1">
      <alignment horizontal="center"/>
    </xf>
  </cellXfs>
  <cellStyles count="1">
    <cellStyle name="Normal" xfId="0" builtinId="0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h:mm\ AM/PM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h:mm\ AM/PM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276226</xdr:colOff>
      <xdr:row>11</xdr:row>
      <xdr:rowOff>133351</xdr:rowOff>
    </xdr:from>
    <xdr:to>
      <xdr:col>6</xdr:col>
      <xdr:colOff>447676</xdr:colOff>
      <xdr:row>13</xdr:row>
      <xdr:rowOff>57151</xdr:rowOff>
    </xdr:to>
    <xdr:sp macro="[0]!DiseñoArquitectonic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38226" y="2857501"/>
          <a:ext cx="16954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DISEÑO</a:t>
          </a:r>
          <a:r>
            <a:rPr lang="es-PE" sz="1100" baseline="0"/>
            <a:t> ARQUITECTONICO</a:t>
          </a:r>
        </a:p>
      </xdr:txBody>
    </xdr:sp>
    <xdr:clientData/>
  </xdr:twoCellAnchor>
  <xdr:twoCellAnchor>
    <xdr:from>
      <xdr:col>4</xdr:col>
      <xdr:colOff>276225</xdr:colOff>
      <xdr:row>13</xdr:row>
      <xdr:rowOff>142876</xdr:rowOff>
    </xdr:from>
    <xdr:to>
      <xdr:col>6</xdr:col>
      <xdr:colOff>447675</xdr:colOff>
      <xdr:row>15</xdr:row>
      <xdr:rowOff>66676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8225" y="3248026"/>
          <a:ext cx="16954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DISEÑO INTERNO</a:t>
          </a:r>
        </a:p>
      </xdr:txBody>
    </xdr:sp>
    <xdr:clientData/>
  </xdr:twoCellAnchor>
  <xdr:twoCellAnchor>
    <xdr:from>
      <xdr:col>4</xdr:col>
      <xdr:colOff>285750</xdr:colOff>
      <xdr:row>15</xdr:row>
      <xdr:rowOff>161926</xdr:rowOff>
    </xdr:from>
    <xdr:to>
      <xdr:col>6</xdr:col>
      <xdr:colOff>447675</xdr:colOff>
      <xdr:row>17</xdr:row>
      <xdr:rowOff>85726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47750" y="3648076"/>
          <a:ext cx="1685925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DISEÑO EXTERNO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363675</xdr:colOff>
      <xdr:row>4</xdr:row>
      <xdr:rowOff>8526</xdr:rowOff>
    </xdr:from>
    <xdr:to>
      <xdr:col>26</xdr:col>
      <xdr:colOff>235528</xdr:colOff>
      <xdr:row>74</xdr:row>
      <xdr:rowOff>27710</xdr:rowOff>
    </xdr:to>
    <xdr:grpSp>
      <xdr:nvGrpSpPr>
        <xdr:cNvPr id="105" name="Grupo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GrpSpPr/>
      </xdr:nvGrpSpPr>
      <xdr:grpSpPr>
        <a:xfrm>
          <a:off x="1610584" y="728962"/>
          <a:ext cx="14834762" cy="12626821"/>
          <a:chOff x="510923" y="166433"/>
          <a:chExt cx="11239866" cy="7904023"/>
        </a:xfrm>
      </xdr:grpSpPr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510923" y="360565"/>
            <a:ext cx="11239866" cy="7709891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chemeClr val="accent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100" u="none"/>
              <a:t>c</a:t>
            </a:r>
          </a:p>
        </xdr:txBody>
      </xdr:sp>
      <xdr:grpSp>
        <xdr:nvGrpSpPr>
          <xdr:cNvPr id="102" name="Grupo 101">
            <a:extLst>
              <a:ext uri="{FF2B5EF4-FFF2-40B4-BE49-F238E27FC236}">
                <a16:creationId xmlns:a16="http://schemas.microsoft.com/office/drawing/2014/main" id="{00000000-0008-0000-0100-000066000000}"/>
              </a:ext>
            </a:extLst>
          </xdr:cNvPr>
          <xdr:cNvGrpSpPr/>
        </xdr:nvGrpSpPr>
        <xdr:grpSpPr>
          <a:xfrm>
            <a:off x="679098" y="166433"/>
            <a:ext cx="10522536" cy="6124804"/>
            <a:chOff x="338919" y="152826"/>
            <a:chExt cx="10522536" cy="6124804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tnSEG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100-000002040000}"/>
                    </a:ext>
                  </a:extLst>
                </xdr:cNvPr>
                <xdr:cNvSpPr/>
              </xdr:nvSpPr>
              <xdr:spPr bwMode="auto">
                <a:xfrm>
                  <a:off x="4412657" y="669252"/>
                  <a:ext cx="1110343" cy="31432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s-PE" sz="14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SEGURIDAD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3" name="Button 9" hidden="1">
                  <a:extLst>
                    <a:ext uri="{63B3BB69-23CF-44E3-9099-C40C66FF867C}">
                      <a14:compatExt spid="_x0000_s1033"/>
                    </a:ext>
                    <a:ext uri="{FF2B5EF4-FFF2-40B4-BE49-F238E27FC236}">
                      <a16:creationId xmlns:a16="http://schemas.microsoft.com/office/drawing/2014/main" id="{00000000-0008-0000-0100-000009040000}"/>
                    </a:ext>
                  </a:extLst>
                </xdr:cNvPr>
                <xdr:cNvSpPr/>
              </xdr:nvSpPr>
              <xdr:spPr bwMode="auto">
                <a:xfrm>
                  <a:off x="6956034" y="2822620"/>
                  <a:ext cx="1411782" cy="3333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s-PE" sz="14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ACT-BD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4" name="Button 10" hidden="1">
                  <a:extLst>
                    <a:ext uri="{63B3BB69-23CF-44E3-9099-C40C66FF867C}">
                      <a14:compatExt spid="_x0000_s1034"/>
                    </a:ext>
                    <a:ext uri="{FF2B5EF4-FFF2-40B4-BE49-F238E27FC236}">
                      <a16:creationId xmlns:a16="http://schemas.microsoft.com/office/drawing/2014/main" id="{00000000-0008-0000-0100-00000A040000}"/>
                    </a:ext>
                  </a:extLst>
                </xdr:cNvPr>
                <xdr:cNvSpPr/>
              </xdr:nvSpPr>
              <xdr:spPr bwMode="auto">
                <a:xfrm>
                  <a:off x="9453116" y="2838704"/>
                  <a:ext cx="1408339" cy="3333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s-PE" sz="14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MANT-BD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5" name="Button 11" hidden="1">
                  <a:extLst>
                    <a:ext uri="{63B3BB69-23CF-44E3-9099-C40C66FF867C}">
                      <a14:compatExt spid="_x0000_s1035"/>
                    </a:ext>
                    <a:ext uri="{FF2B5EF4-FFF2-40B4-BE49-F238E27FC236}">
                      <a16:creationId xmlns:a16="http://schemas.microsoft.com/office/drawing/2014/main" id="{00000000-0008-0000-0100-00000B040000}"/>
                    </a:ext>
                  </a:extLst>
                </xdr:cNvPr>
                <xdr:cNvSpPr/>
              </xdr:nvSpPr>
              <xdr:spPr bwMode="auto">
                <a:xfrm>
                  <a:off x="7007354" y="3526439"/>
                  <a:ext cx="1430190" cy="3333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s-PE" sz="14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ESTADISTICAS</a:t>
                  </a:r>
                </a:p>
              </xdr:txBody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36" name="Button 12" hidden="1">
                  <a:extLst>
                    <a:ext uri="{63B3BB69-23CF-44E3-9099-C40C66FF867C}">
                      <a14:compatExt spid="_x0000_s1036"/>
                    </a:ext>
                    <a:ext uri="{FF2B5EF4-FFF2-40B4-BE49-F238E27FC236}">
                      <a16:creationId xmlns:a16="http://schemas.microsoft.com/office/drawing/2014/main" id="{00000000-0008-0000-0100-00000C040000}"/>
                    </a:ext>
                  </a:extLst>
                </xdr:cNvPr>
                <xdr:cNvSpPr/>
              </xdr:nvSpPr>
              <xdr:spPr bwMode="auto">
                <a:xfrm>
                  <a:off x="9385566" y="3694878"/>
                  <a:ext cx="1417864" cy="33337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2860" rIns="27432" bIns="22860" anchor="ctr" upright="1"/>
                <a:lstStyle/>
                <a:p>
                  <a:pPr algn="ctr" rtl="0">
                    <a:defRPr sz="1000"/>
                  </a:pPr>
                  <a:r>
                    <a:rPr lang="es-PE" sz="14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CONTINGENCIA</a:t>
                  </a:r>
                </a:p>
              </xdr:txBody>
            </xdr:sp>
          </mc:Choice>
          <mc:Fallback/>
        </mc:AlternateContent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6596692" y="1962690"/>
              <a:ext cx="1502548" cy="31376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PE" sz="1800" u="none"/>
                <a:t>APLICATIVO</a:t>
              </a:r>
            </a:p>
          </xdr:txBody>
        </xdr:sp>
        <xdr:sp macro="" textlink="">
          <xdr:nvSpPr>
            <xdr:cNvPr id="27" name="Rectángul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8980746" y="1981976"/>
              <a:ext cx="1491451" cy="298721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PE" sz="1800" u="none"/>
                <a:t>TECNICO</a:t>
              </a:r>
            </a:p>
          </xdr:txBody>
        </xdr:sp>
        <xdr:cxnSp macro="">
          <xdr:nvCxnSpPr>
            <xdr:cNvPr id="5" name="Conector: angular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CxnSpPr>
              <a:stCxn id="3" idx="2"/>
            </xdr:cNvCxnSpPr>
          </xdr:nvCxnSpPr>
          <xdr:spPr>
            <a:xfrm rot="5400000">
              <a:off x="5576728" y="424569"/>
              <a:ext cx="351585" cy="435630"/>
            </a:xfrm>
            <a:prstGeom prst="bentConnector2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Conector: angular 30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CxnSpPr/>
          </xdr:nvCxnSpPr>
          <xdr:spPr>
            <a:xfrm rot="16200000" flipH="1">
              <a:off x="6522516" y="-304401"/>
              <a:ext cx="1496680" cy="2593840"/>
            </a:xfrm>
            <a:prstGeom prst="bentConnector3">
              <a:avLst>
                <a:gd name="adj1" fmla="val 57705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" name="Conector: angular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CxnSpPr/>
          </xdr:nvCxnSpPr>
          <xdr:spPr>
            <a:xfrm rot="5400000">
              <a:off x="3933451" y="-496311"/>
              <a:ext cx="908064" cy="3196317"/>
            </a:xfrm>
            <a:prstGeom prst="bentConnector3">
              <a:avLst>
                <a:gd name="adj1" fmla="val 50000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5" name="Conector: angular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CxnSpPr/>
          </xdr:nvCxnSpPr>
          <xdr:spPr>
            <a:xfrm rot="5400000">
              <a:off x="7808553" y="1204086"/>
              <a:ext cx="303464" cy="1196400"/>
            </a:xfrm>
            <a:prstGeom prst="bentConnector3">
              <a:avLst>
                <a:gd name="adj1" fmla="val 50000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8" name="Conector: angular 57">
              <a:extLst>
                <a:ext uri="{FF2B5EF4-FFF2-40B4-BE49-F238E27FC236}">
                  <a16:creationId xmlns:a16="http://schemas.microsoft.com/office/drawing/2014/main" id="{00000000-0008-0000-0100-00003A000000}"/>
                </a:ext>
              </a:extLst>
            </xdr:cNvPr>
            <xdr:cNvCxnSpPr/>
          </xdr:nvCxnSpPr>
          <xdr:spPr>
            <a:xfrm rot="16200000" flipH="1">
              <a:off x="9006746" y="1220878"/>
              <a:ext cx="322749" cy="1182106"/>
            </a:xfrm>
            <a:prstGeom prst="bentConnector3">
              <a:avLst>
                <a:gd name="adj1" fmla="val 50000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01" name="Grupo 100">
              <a:extLst>
                <a:ext uri="{FF2B5EF4-FFF2-40B4-BE49-F238E27FC236}">
                  <a16:creationId xmlns:a16="http://schemas.microsoft.com/office/drawing/2014/main" id="{00000000-0008-0000-0100-000065000000}"/>
                </a:ext>
              </a:extLst>
            </xdr:cNvPr>
            <xdr:cNvGrpSpPr/>
          </xdr:nvGrpSpPr>
          <xdr:grpSpPr>
            <a:xfrm>
              <a:off x="338919" y="1374655"/>
              <a:ext cx="5982365" cy="4902975"/>
              <a:chOff x="338919" y="1374655"/>
              <a:chExt cx="5982365" cy="4902975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7" name="Button 13" hidden="1">
                    <a:extLst>
                      <a:ext uri="{63B3BB69-23CF-44E3-9099-C40C66FF867C}">
                        <a14:compatExt spid="_x0000_s1037"/>
                      </a:ext>
                      <a:ext uri="{FF2B5EF4-FFF2-40B4-BE49-F238E27FC236}">
                        <a16:creationId xmlns:a16="http://schemas.microsoft.com/office/drawing/2014/main" id="{00000000-0008-0000-0100-00000D040000}"/>
                      </a:ext>
                    </a:extLst>
                  </xdr:cNvPr>
                  <xdr:cNvSpPr/>
                </xdr:nvSpPr>
                <xdr:spPr bwMode="auto">
                  <a:xfrm>
                    <a:off x="622406" y="2744658"/>
                    <a:ext cx="1469982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MANT-PARAM</a:t>
                    </a: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38" name="Button 14" hidden="1">
                    <a:extLst>
                      <a:ext uri="{63B3BB69-23CF-44E3-9099-C40C66FF867C}">
                        <a14:compatExt spid="_x0000_s1038"/>
                      </a:ext>
                      <a:ext uri="{FF2B5EF4-FFF2-40B4-BE49-F238E27FC236}">
                        <a16:creationId xmlns:a16="http://schemas.microsoft.com/office/drawing/2014/main" id="{00000000-0008-0000-0100-00000E040000}"/>
                      </a:ext>
                    </a:extLst>
                  </xdr:cNvPr>
                  <xdr:cNvSpPr/>
                </xdr:nvSpPr>
                <xdr:spPr bwMode="auto">
                  <a:xfrm>
                    <a:off x="639654" y="5944255"/>
                    <a:ext cx="1355192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CONSULTA</a:t>
                    </a: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2" name="Button 18" hidden="1">
                    <a:extLst>
                      <a:ext uri="{63B3BB69-23CF-44E3-9099-C40C66FF867C}">
                        <a14:compatExt spid="_x0000_s1042"/>
                      </a:ext>
                      <a:ext uri="{FF2B5EF4-FFF2-40B4-BE49-F238E27FC236}">
                        <a16:creationId xmlns:a16="http://schemas.microsoft.com/office/drawing/2014/main" id="{00000000-0008-0000-0100-000012040000}"/>
                      </a:ext>
                    </a:extLst>
                  </xdr:cNvPr>
                  <xdr:cNvSpPr/>
                </xdr:nvSpPr>
                <xdr:spPr bwMode="auto">
                  <a:xfrm>
                    <a:off x="3188233" y="3835773"/>
                    <a:ext cx="1131634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DATA ENTRY</a:t>
                    </a:r>
                  </a:p>
                </xdr:txBody>
              </xdr:sp>
            </mc:Choice>
            <mc:Fallback/>
          </mc:AlternateContent>
          <xdr:sp macro="" textlink="">
            <xdr:nvSpPr>
              <xdr:cNvPr id="22" name="Rectángulo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2112630" y="1374655"/>
                <a:ext cx="1329978" cy="313765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PE" sz="1800" u="none"/>
                  <a:t>ON-LINE</a:t>
                </a:r>
              </a:p>
            </xdr:txBody>
          </xdr:sp>
          <xdr:sp macro="" textlink="">
            <xdr:nvSpPr>
              <xdr:cNvPr id="24" name="Rectángulo 23">
                <a:extLst>
                  <a:ext uri="{FF2B5EF4-FFF2-40B4-BE49-F238E27FC236}">
                    <a16:creationId xmlns:a16="http://schemas.microsoft.com/office/drawing/2014/main" id="{00000000-0008-0000-0100-000018000000}"/>
                  </a:ext>
                </a:extLst>
              </xdr:cNvPr>
              <xdr:cNvSpPr/>
            </xdr:nvSpPr>
            <xdr:spPr>
              <a:xfrm>
                <a:off x="338919" y="1974623"/>
                <a:ext cx="1509751" cy="313765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PE" sz="1800" u="none"/>
                  <a:t>GERENCIAL</a:t>
                </a:r>
              </a:p>
            </xdr:txBody>
          </xdr:sp>
          <xdr:sp macro="" textlink="">
            <xdr:nvSpPr>
              <xdr:cNvPr id="25" name="Rectángulo 24"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SpPr/>
            </xdr:nvSpPr>
            <xdr:spPr>
              <a:xfrm>
                <a:off x="3575653" y="1956714"/>
                <a:ext cx="1502547" cy="313765"/>
              </a:xfrm>
              <a:prstGeom prst="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PE" sz="1800" u="none"/>
                  <a:t>OPERATIVO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3" name="Button 19" hidden="1">
                    <a:extLst>
                      <a:ext uri="{63B3BB69-23CF-44E3-9099-C40C66FF867C}">
                        <a14:compatExt spid="_x0000_s1043"/>
                      </a:ext>
                      <a:ext uri="{FF2B5EF4-FFF2-40B4-BE49-F238E27FC236}">
                        <a16:creationId xmlns:a16="http://schemas.microsoft.com/office/drawing/2014/main" id="{00000000-0008-0000-0100-000013040000}"/>
                      </a:ext>
                    </a:extLst>
                  </xdr:cNvPr>
                  <xdr:cNvSpPr/>
                </xdr:nvSpPr>
                <xdr:spPr bwMode="auto">
                  <a:xfrm>
                    <a:off x="3171048" y="4302606"/>
                    <a:ext cx="1124910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REPORTES</a:t>
                    </a:r>
                  </a:p>
                </xdr:txBody>
              </xdr:sp>
            </mc:Choice>
            <mc:Fallback/>
          </mc:AlternateContent>
          <xdr:sp macro="" textlink="">
            <xdr:nvSpPr>
              <xdr:cNvPr id="28" name="Rectángulo 27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SpPr/>
            </xdr:nvSpPr>
            <xdr:spPr>
              <a:xfrm>
                <a:off x="2778741" y="3052483"/>
                <a:ext cx="1509751" cy="31376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PE" sz="1800" u="none">
                    <a:solidFill>
                      <a:schemeClr val="accent1"/>
                    </a:solidFill>
                  </a:rPr>
                  <a:t>AREA</a:t>
                </a:r>
              </a:p>
            </xdr:txBody>
          </xdr:sp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SpPr/>
            </xdr:nvSpPr>
            <xdr:spPr>
              <a:xfrm>
                <a:off x="4812692" y="3053270"/>
                <a:ext cx="1502548" cy="313765"/>
              </a:xfrm>
              <a:prstGeom prst="rect">
                <a:avLst/>
              </a:prstGeom>
              <a:solidFill>
                <a:schemeClr val="bg1"/>
              </a:solidFill>
              <a:ln>
                <a:solidFill>
                  <a:sysClr val="windowText" lastClr="00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es-PE" sz="1800" u="none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rPr>
                  <a:t>CLIENTE</a:t>
                </a: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4" name="Button 20" hidden="1">
                    <a:extLst>
                      <a:ext uri="{63B3BB69-23CF-44E3-9099-C40C66FF867C}">
                        <a14:compatExt spid="_x0000_s1044"/>
                      </a:ext>
                      <a:ext uri="{FF2B5EF4-FFF2-40B4-BE49-F238E27FC236}">
                        <a16:creationId xmlns:a16="http://schemas.microsoft.com/office/drawing/2014/main" id="{00000000-0008-0000-0100-000014040000}"/>
                      </a:ext>
                    </a:extLst>
                  </xdr:cNvPr>
                  <xdr:cNvSpPr/>
                </xdr:nvSpPr>
                <xdr:spPr bwMode="auto">
                  <a:xfrm>
                    <a:off x="5199094" y="3737150"/>
                    <a:ext cx="1122190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DATA ENTRY</a:t>
                    </a:r>
                  </a:p>
                </xdr:txBody>
              </xdr:sp>
            </mc:Choice>
            <mc:Fallback/>
          </mc:AlternateContent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1045" name="Button 21" hidden="1">
                    <a:extLst>
                      <a:ext uri="{63B3BB69-23CF-44E3-9099-C40C66FF867C}">
                        <a14:compatExt spid="_x0000_s1045"/>
                      </a:ext>
                      <a:ext uri="{FF2B5EF4-FFF2-40B4-BE49-F238E27FC236}">
                        <a16:creationId xmlns:a16="http://schemas.microsoft.com/office/drawing/2014/main" id="{00000000-0008-0000-0100-000015040000}"/>
                      </a:ext>
                    </a:extLst>
                  </xdr:cNvPr>
                  <xdr:cNvSpPr/>
                </xdr:nvSpPr>
                <xdr:spPr bwMode="auto">
                  <a:xfrm>
                    <a:off x="5206435" y="4291400"/>
                    <a:ext cx="1112665" cy="333375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  <xdr:txBody>
                  <a:bodyPr vertOverflow="clip" wrap="square" lIns="27432" tIns="22860" rIns="27432" bIns="22860" anchor="ctr" upright="1"/>
                  <a:lstStyle/>
                  <a:p>
                    <a:pPr algn="ctr" rtl="0">
                      <a:defRPr sz="1000"/>
                    </a:pPr>
                    <a:r>
                      <a:rPr lang="es-PE" sz="1400" b="0" i="0" u="none" strike="noStrike" baseline="0">
                        <a:solidFill>
                          <a:srgbClr val="000000"/>
                        </a:solidFill>
                        <a:latin typeface="Calibri"/>
                        <a:ea typeface="Calibri"/>
                        <a:cs typeface="Calibri"/>
                      </a:rPr>
                      <a:t>REPORTES</a:t>
                    </a:r>
                  </a:p>
                </xdr:txBody>
              </xdr:sp>
            </mc:Choice>
            <mc:Fallback/>
          </mc:AlternateContent>
          <xdr:cxnSp macro="">
            <xdr:nvCxnSpPr>
              <xdr:cNvPr id="43" name="Conector: angular 42">
                <a:extLst>
                  <a:ext uri="{FF2B5EF4-FFF2-40B4-BE49-F238E27FC236}">
                    <a16:creationId xmlns:a16="http://schemas.microsoft.com/office/drawing/2014/main" id="{00000000-0008-0000-0100-00002B000000}"/>
                  </a:ext>
                </a:extLst>
              </xdr:cNvPr>
              <xdr:cNvCxnSpPr>
                <a:stCxn id="22" idx="2"/>
                <a:endCxn id="24" idx="0"/>
              </xdr:cNvCxnSpPr>
            </xdr:nvCxnSpPr>
            <xdr:spPr>
              <a:xfrm rot="5400000">
                <a:off x="1792606" y="989609"/>
                <a:ext cx="286203" cy="1683824"/>
              </a:xfrm>
              <a:prstGeom prst="bentConnector3">
                <a:avLst>
                  <a:gd name="adj1" fmla="val 50000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Conector: angular 46">
                <a:extLst>
                  <a:ext uri="{FF2B5EF4-FFF2-40B4-BE49-F238E27FC236}">
                    <a16:creationId xmlns:a16="http://schemas.microsoft.com/office/drawing/2014/main" id="{00000000-0008-0000-0100-00002F000000}"/>
                  </a:ext>
                </a:extLst>
              </xdr:cNvPr>
              <xdr:cNvCxnSpPr>
                <a:stCxn id="22" idx="2"/>
                <a:endCxn id="25" idx="0"/>
              </xdr:cNvCxnSpPr>
            </xdr:nvCxnSpPr>
            <xdr:spPr>
              <a:xfrm rot="16200000" flipH="1">
                <a:off x="3418125" y="1047913"/>
                <a:ext cx="268294" cy="1549307"/>
              </a:xfrm>
              <a:prstGeom prst="bentConnector3">
                <a:avLst>
                  <a:gd name="adj1" fmla="val 50000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2" name="Conector: angular 61">
                <a:extLst>
                  <a:ext uri="{FF2B5EF4-FFF2-40B4-BE49-F238E27FC236}">
                    <a16:creationId xmlns:a16="http://schemas.microsoft.com/office/drawing/2014/main" id="{00000000-0008-0000-0100-00003E000000}"/>
                  </a:ext>
                </a:extLst>
              </xdr:cNvPr>
              <xdr:cNvCxnSpPr>
                <a:stCxn id="24" idx="2"/>
              </xdr:cNvCxnSpPr>
            </xdr:nvCxnSpPr>
            <xdr:spPr>
              <a:xfrm rot="5400000">
                <a:off x="-1044552" y="3972595"/>
                <a:ext cx="3822554" cy="454141"/>
              </a:xfrm>
              <a:prstGeom prst="bentConnector4">
                <a:avLst>
                  <a:gd name="adj1" fmla="val 7953"/>
                  <a:gd name="adj2" fmla="val 153608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8" name="Conector: angular 67">
                <a:extLst>
                  <a:ext uri="{FF2B5EF4-FFF2-40B4-BE49-F238E27FC236}">
                    <a16:creationId xmlns:a16="http://schemas.microsoft.com/office/drawing/2014/main" id="{00000000-0008-0000-0100-000044000000}"/>
                  </a:ext>
                </a:extLst>
              </xdr:cNvPr>
              <xdr:cNvCxnSpPr/>
            </xdr:nvCxnSpPr>
            <xdr:spPr>
              <a:xfrm rot="5400000">
                <a:off x="435875" y="2305401"/>
                <a:ext cx="853606" cy="457133"/>
              </a:xfrm>
              <a:prstGeom prst="bentConnector4">
                <a:avLst>
                  <a:gd name="adj1" fmla="val 56156"/>
                  <a:gd name="adj2" fmla="val 150007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2" name="Conector: angular 71">
                <a:extLst>
                  <a:ext uri="{FF2B5EF4-FFF2-40B4-BE49-F238E27FC236}">
                    <a16:creationId xmlns:a16="http://schemas.microsoft.com/office/drawing/2014/main" id="{00000000-0008-0000-0100-000048000000}"/>
                  </a:ext>
                </a:extLst>
              </xdr:cNvPr>
              <xdr:cNvCxnSpPr>
                <a:stCxn id="25" idx="2"/>
                <a:endCxn id="29" idx="0"/>
              </xdr:cNvCxnSpPr>
            </xdr:nvCxnSpPr>
            <xdr:spPr>
              <a:xfrm rot="16200000" flipH="1">
                <a:off x="4554052" y="2043355"/>
                <a:ext cx="782791" cy="1237039"/>
              </a:xfrm>
              <a:prstGeom prst="bentConnector3">
                <a:avLst>
                  <a:gd name="adj1" fmla="val 50000"/>
                </a:avLst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5" name="Conector: angular 74">
                <a:extLst>
                  <a:ext uri="{FF2B5EF4-FFF2-40B4-BE49-F238E27FC236}">
                    <a16:creationId xmlns:a16="http://schemas.microsoft.com/office/drawing/2014/main" id="{00000000-0008-0000-0100-00004B000000}"/>
                  </a:ext>
                </a:extLst>
              </xdr:cNvPr>
              <xdr:cNvCxnSpPr>
                <a:stCxn id="25" idx="2"/>
                <a:endCxn id="28" idx="0"/>
              </xdr:cNvCxnSpPr>
            </xdr:nvCxnSpPr>
            <xdr:spPr>
              <a:xfrm rot="5400000">
                <a:off x="3539270" y="2264827"/>
                <a:ext cx="782004" cy="793309"/>
              </a:xfrm>
              <a:prstGeom prst="bentConnector3">
                <a:avLst>
                  <a:gd name="adj1" fmla="val 50000"/>
                </a:avLst>
              </a:prstGeom>
              <a:ln>
                <a:solidFill>
                  <a:sysClr val="windowText" lastClr="000000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9" name="Conector: angular 78">
                <a:extLst>
                  <a:ext uri="{FF2B5EF4-FFF2-40B4-BE49-F238E27FC236}">
                    <a16:creationId xmlns:a16="http://schemas.microsoft.com/office/drawing/2014/main" id="{00000000-0008-0000-0100-00004F000000}"/>
                  </a:ext>
                </a:extLst>
              </xdr:cNvPr>
              <xdr:cNvCxnSpPr/>
            </xdr:nvCxnSpPr>
            <xdr:spPr>
              <a:xfrm rot="16200000" flipH="1">
                <a:off x="2775844" y="4074089"/>
                <a:ext cx="607632" cy="182777"/>
              </a:xfrm>
              <a:prstGeom prst="bentConnector2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3" name="Conector: angular 82">
                <a:extLst>
                  <a:ext uri="{FF2B5EF4-FFF2-40B4-BE49-F238E27FC236}">
                    <a16:creationId xmlns:a16="http://schemas.microsoft.com/office/drawing/2014/main" id="{00000000-0008-0000-0100-000053000000}"/>
                  </a:ext>
                </a:extLst>
              </xdr:cNvPr>
              <xdr:cNvCxnSpPr>
                <a:stCxn id="28" idx="2"/>
              </xdr:cNvCxnSpPr>
            </xdr:nvCxnSpPr>
            <xdr:spPr>
              <a:xfrm rot="5400000">
                <a:off x="3041772" y="3512709"/>
                <a:ext cx="636212" cy="343290"/>
              </a:xfrm>
              <a:prstGeom prst="bentConnector4">
                <a:avLst>
                  <a:gd name="adj1" fmla="val 42658"/>
                  <a:gd name="adj2" fmla="val 158054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9" name="Conector: angular 88">
                <a:extLst>
                  <a:ext uri="{FF2B5EF4-FFF2-40B4-BE49-F238E27FC236}">
                    <a16:creationId xmlns:a16="http://schemas.microsoft.com/office/drawing/2014/main" id="{00000000-0008-0000-0100-000059000000}"/>
                  </a:ext>
                </a:extLst>
              </xdr:cNvPr>
              <xdr:cNvCxnSpPr>
                <a:stCxn id="29" idx="2"/>
              </xdr:cNvCxnSpPr>
            </xdr:nvCxnSpPr>
            <xdr:spPr>
              <a:xfrm rot="5400000">
                <a:off x="5051998" y="3490719"/>
                <a:ext cx="635652" cy="388285"/>
              </a:xfrm>
              <a:prstGeom prst="bentConnector4">
                <a:avLst>
                  <a:gd name="adj1" fmla="val 41499"/>
                  <a:gd name="adj2" fmla="val 158874"/>
                </a:avLst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9" name="Conector: angular 98">
              <a:extLst>
                <a:ext uri="{FF2B5EF4-FFF2-40B4-BE49-F238E27FC236}">
                  <a16:creationId xmlns:a16="http://schemas.microsoft.com/office/drawing/2014/main" id="{00000000-0008-0000-0100-000063000000}"/>
                </a:ext>
              </a:extLst>
            </xdr:cNvPr>
            <xdr:cNvCxnSpPr/>
          </xdr:nvCxnSpPr>
          <xdr:spPr>
            <a:xfrm rot="16200000" flipH="1">
              <a:off x="8719558" y="3262071"/>
              <a:ext cx="1037919" cy="210682"/>
            </a:xfrm>
            <a:prstGeom prst="bentConnector3">
              <a:avLst>
                <a:gd name="adj1" fmla="val 100000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3" name="Conector: angular 102">
              <a:extLst>
                <a:ext uri="{FF2B5EF4-FFF2-40B4-BE49-F238E27FC236}">
                  <a16:creationId xmlns:a16="http://schemas.microsoft.com/office/drawing/2014/main" id="{00000000-0008-0000-0100-000067000000}"/>
                </a:ext>
              </a:extLst>
            </xdr:cNvPr>
            <xdr:cNvCxnSpPr>
              <a:stCxn id="27" idx="2"/>
            </xdr:cNvCxnSpPr>
          </xdr:nvCxnSpPr>
          <xdr:spPr>
            <a:xfrm rot="5400000">
              <a:off x="9161769" y="2490113"/>
              <a:ext cx="774119" cy="355286"/>
            </a:xfrm>
            <a:prstGeom prst="bentConnector4">
              <a:avLst>
                <a:gd name="adj1" fmla="val 28534"/>
                <a:gd name="adj2" fmla="val 168890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8" name="Conector: angular 107">
              <a:extLst>
                <a:ext uri="{FF2B5EF4-FFF2-40B4-BE49-F238E27FC236}">
                  <a16:creationId xmlns:a16="http://schemas.microsoft.com/office/drawing/2014/main" id="{00000000-0008-0000-0100-00006C000000}"/>
                </a:ext>
              </a:extLst>
            </xdr:cNvPr>
            <xdr:cNvCxnSpPr/>
          </xdr:nvCxnSpPr>
          <xdr:spPr>
            <a:xfrm rot="16200000" flipH="1">
              <a:off x="6562683" y="3308237"/>
              <a:ext cx="716657" cy="93637"/>
            </a:xfrm>
            <a:prstGeom prst="bentConnector3">
              <a:avLst>
                <a:gd name="adj1" fmla="val 100575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2" name="Conector: angular 111">
              <a:extLst>
                <a:ext uri="{FF2B5EF4-FFF2-40B4-BE49-F238E27FC236}">
                  <a16:creationId xmlns:a16="http://schemas.microsoft.com/office/drawing/2014/main" id="{00000000-0008-0000-0100-000070000000}"/>
                </a:ext>
              </a:extLst>
            </xdr:cNvPr>
            <xdr:cNvCxnSpPr/>
          </xdr:nvCxnSpPr>
          <xdr:spPr>
            <a:xfrm rot="5400000">
              <a:off x="6846940" y="2349130"/>
              <a:ext cx="762277" cy="567500"/>
            </a:xfrm>
            <a:prstGeom prst="bentConnector4">
              <a:avLst>
                <a:gd name="adj1" fmla="val 29288"/>
                <a:gd name="adj2" fmla="val 112325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" name="Rectángul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>
            <a:xfrm>
              <a:off x="4426324" y="152826"/>
              <a:ext cx="3095224" cy="31376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PE" sz="2000" u="none"/>
                <a:t>SISTE</a:t>
              </a:r>
              <a:r>
                <a:rPr lang="es-PE" sz="2000" u="none" baseline="0"/>
                <a:t>MA DE RECLAMOS</a:t>
              </a:r>
              <a:endParaRPr lang="es-PE" sz="2000" u="none"/>
            </a:p>
          </xdr:txBody>
        </xdr:sp>
        <xdr:sp macro="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SpPr/>
          </xdr:nvSpPr>
          <xdr:spPr>
            <a:xfrm>
              <a:off x="7896770" y="1302099"/>
              <a:ext cx="1337181" cy="313765"/>
            </a:xfrm>
            <a:prstGeom prst="rect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PE" sz="1800" u="none"/>
                <a:t>BATCH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30</xdr:row>
          <xdr:rowOff>182880</xdr:rowOff>
        </xdr:from>
        <xdr:to>
          <xdr:col>7</xdr:col>
          <xdr:colOff>7620</xdr:colOff>
          <xdr:row>33</xdr:row>
          <xdr:rowOff>99060</xdr:rowOff>
        </xdr:to>
        <xdr:sp macro="" textlink="">
          <xdr:nvSpPr>
            <xdr:cNvPr id="1046" name="ParametroGeneral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160020</xdr:rowOff>
        </xdr:from>
        <xdr:to>
          <xdr:col>7</xdr:col>
          <xdr:colOff>7620</xdr:colOff>
          <xdr:row>36</xdr:row>
          <xdr:rowOff>76200</xdr:rowOff>
        </xdr:to>
        <xdr:sp macro="" textlink="">
          <xdr:nvSpPr>
            <xdr:cNvPr id="1047" name="CatalogoProducto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36</xdr:row>
          <xdr:rowOff>121920</xdr:rowOff>
        </xdr:from>
        <xdr:to>
          <xdr:col>7</xdr:col>
          <xdr:colOff>38100</xdr:colOff>
          <xdr:row>39</xdr:row>
          <xdr:rowOff>38100</xdr:rowOff>
        </xdr:to>
        <xdr:sp macro="" textlink="">
          <xdr:nvSpPr>
            <xdr:cNvPr id="1048" name="CatalogoBien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39</xdr:row>
          <xdr:rowOff>83820</xdr:rowOff>
        </xdr:from>
        <xdr:to>
          <xdr:col>7</xdr:col>
          <xdr:colOff>60960</xdr:colOff>
          <xdr:row>42</xdr:row>
          <xdr:rowOff>2771</xdr:rowOff>
        </xdr:to>
        <xdr:sp macro="" textlink="">
          <xdr:nvSpPr>
            <xdr:cNvPr id="1049" name="CatalogoProblema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42</xdr:row>
          <xdr:rowOff>83820</xdr:rowOff>
        </xdr:from>
        <xdr:to>
          <xdr:col>7</xdr:col>
          <xdr:colOff>68580</xdr:colOff>
          <xdr:row>45</xdr:row>
          <xdr:rowOff>2771</xdr:rowOff>
        </xdr:to>
        <xdr:sp macro="" textlink="">
          <xdr:nvSpPr>
            <xdr:cNvPr id="1050" name="CatalogoClient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45</xdr:row>
          <xdr:rowOff>45720</xdr:rowOff>
        </xdr:from>
        <xdr:to>
          <xdr:col>7</xdr:col>
          <xdr:colOff>60960</xdr:colOff>
          <xdr:row>47</xdr:row>
          <xdr:rowOff>152400</xdr:rowOff>
        </xdr:to>
        <xdr:sp macro="" textlink="">
          <xdr:nvSpPr>
            <xdr:cNvPr id="1051" name="CatalogoProtocolo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48</xdr:row>
          <xdr:rowOff>30480</xdr:rowOff>
        </xdr:from>
        <xdr:to>
          <xdr:col>6</xdr:col>
          <xdr:colOff>518160</xdr:colOff>
          <xdr:row>50</xdr:row>
          <xdr:rowOff>137160</xdr:rowOff>
        </xdr:to>
        <xdr:sp macro="" textlink="">
          <xdr:nvSpPr>
            <xdr:cNvPr id="1052" name="CatalogoRegla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51</xdr:row>
          <xdr:rowOff>0</xdr:rowOff>
        </xdr:from>
        <xdr:to>
          <xdr:col>6</xdr:col>
          <xdr:colOff>525780</xdr:colOff>
          <xdr:row>53</xdr:row>
          <xdr:rowOff>106680</xdr:rowOff>
        </xdr:to>
        <xdr:sp macro="" textlink="">
          <xdr:nvSpPr>
            <xdr:cNvPr id="1053" name="CatalogoPolitica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27215</xdr:colOff>
      <xdr:row>29</xdr:row>
      <xdr:rowOff>176895</xdr:rowOff>
    </xdr:from>
    <xdr:to>
      <xdr:col>4</xdr:col>
      <xdr:colOff>378279</xdr:colOff>
      <xdr:row>52</xdr:row>
      <xdr:rowOff>53748</xdr:rowOff>
    </xdr:to>
    <xdr:cxnSp macro="">
      <xdr:nvCxnSpPr>
        <xdr:cNvPr id="100" name="Conector: angular 67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CxnSpPr/>
      </xdr:nvCxnSpPr>
      <xdr:spPr>
        <a:xfrm rot="10800000">
          <a:off x="2476501" y="5701395"/>
          <a:ext cx="351064" cy="425835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27217</xdr:colOff>
      <xdr:row>30</xdr:row>
      <xdr:rowOff>13612</xdr:rowOff>
    </xdr:from>
    <xdr:to>
      <xdr:col>4</xdr:col>
      <xdr:colOff>364672</xdr:colOff>
      <xdr:row>35</xdr:row>
      <xdr:rowOff>25175</xdr:rowOff>
    </xdr:to>
    <xdr:cxnSp macro="">
      <xdr:nvCxnSpPr>
        <xdr:cNvPr id="104" name="Conector: angular 67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CxnSpPr/>
      </xdr:nvCxnSpPr>
      <xdr:spPr>
        <a:xfrm rot="10800000">
          <a:off x="2476503" y="5728612"/>
          <a:ext cx="337455" cy="96406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40821</xdr:colOff>
      <xdr:row>29</xdr:row>
      <xdr:rowOff>149688</xdr:rowOff>
    </xdr:from>
    <xdr:to>
      <xdr:col>4</xdr:col>
      <xdr:colOff>383723</xdr:colOff>
      <xdr:row>32</xdr:row>
      <xdr:rowOff>38781</xdr:rowOff>
    </xdr:to>
    <xdr:cxnSp macro="">
      <xdr:nvCxnSpPr>
        <xdr:cNvPr id="106" name="Conector: angular 67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CxnSpPr/>
      </xdr:nvCxnSpPr>
      <xdr:spPr>
        <a:xfrm rot="10800000">
          <a:off x="2490107" y="5674188"/>
          <a:ext cx="342902" cy="460593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40822</xdr:colOff>
      <xdr:row>30</xdr:row>
      <xdr:rowOff>40821</xdr:rowOff>
    </xdr:from>
    <xdr:to>
      <xdr:col>4</xdr:col>
      <xdr:colOff>370117</xdr:colOff>
      <xdr:row>37</xdr:row>
      <xdr:rowOff>174852</xdr:rowOff>
    </xdr:to>
    <xdr:cxnSp macro="">
      <xdr:nvCxnSpPr>
        <xdr:cNvPr id="111" name="Conector: angular 67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CxnSpPr/>
      </xdr:nvCxnSpPr>
      <xdr:spPr>
        <a:xfrm rot="16200000" flipV="1">
          <a:off x="1920990" y="6324939"/>
          <a:ext cx="1467531" cy="329295"/>
        </a:xfrm>
        <a:prstGeom prst="bentConnector3">
          <a:avLst>
            <a:gd name="adj1" fmla="val 85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27214</xdr:colOff>
      <xdr:row>32</xdr:row>
      <xdr:rowOff>163286</xdr:rowOff>
    </xdr:from>
    <xdr:to>
      <xdr:col>4</xdr:col>
      <xdr:colOff>356509</xdr:colOff>
      <xdr:row>40</xdr:row>
      <xdr:rowOff>106817</xdr:rowOff>
    </xdr:to>
    <xdr:cxnSp macro="">
      <xdr:nvCxnSpPr>
        <xdr:cNvPr id="114" name="Conector: angular 67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CxnSpPr/>
      </xdr:nvCxnSpPr>
      <xdr:spPr>
        <a:xfrm rot="16200000" flipV="1">
          <a:off x="1907382" y="6828404"/>
          <a:ext cx="1467531" cy="329295"/>
        </a:xfrm>
        <a:prstGeom prst="bentConnector3">
          <a:avLst>
            <a:gd name="adj1" fmla="val 85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40820</xdr:colOff>
      <xdr:row>36</xdr:row>
      <xdr:rowOff>95250</xdr:rowOff>
    </xdr:from>
    <xdr:to>
      <xdr:col>4</xdr:col>
      <xdr:colOff>370115</xdr:colOff>
      <xdr:row>44</xdr:row>
      <xdr:rowOff>38781</xdr:rowOff>
    </xdr:to>
    <xdr:cxnSp macro="">
      <xdr:nvCxnSpPr>
        <xdr:cNvPr id="115" name="Conector: angular 67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CxnSpPr/>
      </xdr:nvCxnSpPr>
      <xdr:spPr>
        <a:xfrm rot="16200000" flipV="1">
          <a:off x="1920988" y="7522368"/>
          <a:ext cx="1467531" cy="329295"/>
        </a:xfrm>
        <a:prstGeom prst="bentConnector3">
          <a:avLst>
            <a:gd name="adj1" fmla="val 85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40821</xdr:colOff>
      <xdr:row>38</xdr:row>
      <xdr:rowOff>176892</xdr:rowOff>
    </xdr:from>
    <xdr:to>
      <xdr:col>4</xdr:col>
      <xdr:colOff>370116</xdr:colOff>
      <xdr:row>46</xdr:row>
      <xdr:rowOff>120423</xdr:rowOff>
    </xdr:to>
    <xdr:cxnSp macro="">
      <xdr:nvCxnSpPr>
        <xdr:cNvPr id="116" name="Conector: angular 67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/>
      </xdr:nvCxnSpPr>
      <xdr:spPr>
        <a:xfrm rot="16200000" flipV="1">
          <a:off x="1920989" y="7985010"/>
          <a:ext cx="1467531" cy="329295"/>
        </a:xfrm>
        <a:prstGeom prst="bentConnector3">
          <a:avLst>
            <a:gd name="adj1" fmla="val 85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27214</xdr:colOff>
      <xdr:row>41</xdr:row>
      <xdr:rowOff>81643</xdr:rowOff>
    </xdr:from>
    <xdr:to>
      <xdr:col>4</xdr:col>
      <xdr:colOff>356509</xdr:colOff>
      <xdr:row>49</xdr:row>
      <xdr:rowOff>25174</xdr:rowOff>
    </xdr:to>
    <xdr:cxnSp macro="">
      <xdr:nvCxnSpPr>
        <xdr:cNvPr id="117" name="Conector: angular 67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CxnSpPr/>
      </xdr:nvCxnSpPr>
      <xdr:spPr>
        <a:xfrm rot="16200000" flipV="1">
          <a:off x="1907382" y="8461261"/>
          <a:ext cx="1467531" cy="329295"/>
        </a:xfrm>
        <a:prstGeom prst="bentConnector3">
          <a:avLst>
            <a:gd name="adj1" fmla="val 858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480060</xdr:colOff>
          <xdr:row>58</xdr:row>
          <xdr:rowOff>137160</xdr:rowOff>
        </xdr:from>
        <xdr:to>
          <xdr:col>7</xdr:col>
          <xdr:colOff>7620</xdr:colOff>
          <xdr:row>61</xdr:row>
          <xdr:rowOff>45720</xdr:rowOff>
        </xdr:to>
        <xdr:sp macro="" textlink="">
          <xdr:nvSpPr>
            <xdr:cNvPr id="1054" name="ConsultaIndicador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109107</xdr:colOff>
      <xdr:row>58</xdr:row>
      <xdr:rowOff>53688</xdr:rowOff>
    </xdr:from>
    <xdr:to>
      <xdr:col>4</xdr:col>
      <xdr:colOff>490104</xdr:colOff>
      <xdr:row>60</xdr:row>
      <xdr:rowOff>139276</xdr:rowOff>
    </xdr:to>
    <xdr:cxnSp macro="">
      <xdr:nvCxnSpPr>
        <xdr:cNvPr id="125" name="Conector: angular 67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CxnSpPr/>
      </xdr:nvCxnSpPr>
      <xdr:spPr>
        <a:xfrm rot="10800000">
          <a:off x="2602925" y="10500015"/>
          <a:ext cx="380997" cy="445806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430358</xdr:colOff>
      <xdr:row>38</xdr:row>
      <xdr:rowOff>55418</xdr:rowOff>
    </xdr:from>
    <xdr:to>
      <xdr:col>13</xdr:col>
      <xdr:colOff>97527</xdr:colOff>
      <xdr:row>42</xdr:row>
      <xdr:rowOff>44095</xdr:rowOff>
    </xdr:to>
    <xdr:cxnSp macro="">
      <xdr:nvCxnSpPr>
        <xdr:cNvPr id="177" name="Conector: angular 67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CxnSpPr/>
      </xdr:nvCxnSpPr>
      <xdr:spPr>
        <a:xfrm rot="10800000">
          <a:off x="7911813" y="6899563"/>
          <a:ext cx="290623" cy="709114"/>
        </a:xfrm>
        <a:prstGeom prst="bentConnector2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alen/Downloads/Arquitectura%20y%20Portotipo-ABD-8%20(version%201)%20(2).xlsm" TargetMode="External"/><Relationship Id="rId1" Type="http://schemas.openxmlformats.org/officeDocument/2006/relationships/externalLinkPath" Target="/Users/alen/Downloads/Arquitectura%20y%20Portotipo-ABD-8%20(version%201)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Mario%20Moreno/Downloads/tipoempresa.xlsm" TargetMode="External"/><Relationship Id="rId1" Type="http://schemas.openxmlformats.org/officeDocument/2006/relationships/externalLinkPath" Target="/Users/Mario%20Moreno/Downloads/tipoempres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ICIO"/>
      <sheetName val="DISEÑO ARQUITECTONICO"/>
      <sheetName val="SEGURIDAD"/>
      <sheetName val="MANT-PARAM"/>
      <sheetName val="Hoja1"/>
      <sheetName val="Arquitectura y Portotipo-ABD-8 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Hoja1"/>
      <sheetName val="MANT-PARAM"/>
      <sheetName val="tipoempresa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BD9065B5-D757-42C9-B148-12AB721BBBFC}" name="Table122" displayName="Table122" ref="A1:A4" totalsRowShown="0">
  <autoFilter ref="A1:A4" xr:uid="{6108FD34-FEBF-4977-A396-6A561F9B6A18}"/>
  <tableColumns count="1">
    <tableColumn id="1" xr3:uid="{4F931680-70E4-4117-8A3B-65E4C64A9FE8}" name="Regl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DA3D552-D78F-463B-9BA3-47C83A739562}" name="Table123" displayName="Table123" ref="A1:A2" totalsRowShown="0" dataDxfId="182" tableBorderDxfId="181">
  <autoFilter ref="A1:A2" xr:uid="{3B48E2A4-A2EF-4666-98B7-1454866C2695}"/>
  <tableColumns count="1">
    <tableColumn id="1" xr3:uid="{3CB7B2D0-6107-414C-B240-6C14AB846F5B}" name="Reclamo" dataDxfId="1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270826E-1946-4CE0-A1A1-200AFF0F284B}" name="Table120" displayName="Table120" ref="A1:A5" totalsRowShown="0">
  <autoFilter ref="A1:A5" xr:uid="{5943B9E4-09B1-4A2E-8061-006558513B30}"/>
  <tableColumns count="1">
    <tableColumn id="1" xr3:uid="{28EAA7F5-4680-41B6-A6BC-F47DDB4E8A02}" name="Variabl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2AAEDF9A-C7E8-4D86-BF63-6B442406B2BE}" name="Table121" displayName="Table121" ref="A1:A3" totalsRowShown="0" tableBorderDxfId="179">
  <autoFilter ref="A1:A3" xr:uid="{CFF96B4B-9E80-4B75-9103-74A267B5F373}"/>
  <tableColumns count="1">
    <tableColumn id="1" xr3:uid="{9DE74416-A012-4BD8-8C26-E953CADF7BA4}" name="Variabl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661B1734-016F-4E64-8A44-269E1C46EB3C}" name="Table111" displayName="Table111" ref="A1:F7" totalsRowShown="0">
  <autoFilter ref="A1:F7" xr:uid="{EF3F2A4F-BB43-44E4-BEAD-9DD2182A104F}"/>
  <tableColumns count="6">
    <tableColumn id="1" xr3:uid="{1C5FBEBE-11B9-470A-834F-3E5F03CE04D8}" name="Inspeccion Problema"/>
    <tableColumn id="2" xr3:uid="{AEF07B21-A0C2-4E0A-9900-D9F2B24936FE}" name="Solucion del Problema"/>
    <tableColumn id="3" xr3:uid="{7F2DA98D-EAAB-45AA-B173-A6BDFD4311F8}" name="Reasignacion de Area"/>
    <tableColumn id="4" xr3:uid="{3A7B6106-D093-408C-B827-C66508172577}" name="Entrega Producto"/>
    <tableColumn id="5" xr3:uid="{FE86158A-7BDC-4857-AB8A-D9297EC43A14}" name="Seguimiento Solucion"/>
    <tableColumn id="6" xr3:uid="{EF989023-930B-4480-A5E5-3653E4C9E624}" name="Estad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1372EE50-358A-4D3A-A653-116F72731342}" name="Table112" displayName="Table112" ref="A1:A5" totalsRowShown="0">
  <autoFilter ref="A1:A5" xr:uid="{48199CAD-60DF-43A4-900B-F77A740EAD3E}"/>
  <tableColumns count="1">
    <tableColumn id="1" xr3:uid="{F5FAEB0C-1488-457D-A0BE-9184AB6A7DBC}" name="Tipo de Reclamo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5A869B12-04B6-4215-8AB3-17FD92D0119E}" name="Table114" displayName="Table114" ref="A1:A4" totalsRowShown="0">
  <autoFilter ref="A1:A4" xr:uid="{303107DD-06D5-448E-8F6A-B54553F9EBA8}"/>
  <tableColumns count="1">
    <tableColumn id="1" xr3:uid="{465491D7-AFFA-476C-9074-ACC13C296A6B}" name="Inspeccion Problem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AEB343FF-70BB-46CF-98D0-431E0CBB5808}" name="Table115" displayName="Table115" ref="C1:C3" totalsRowShown="0">
  <autoFilter ref="C1:C3" xr:uid="{7516ADEF-7E92-4282-83CF-AE014358BB14}"/>
  <tableColumns count="1">
    <tableColumn id="1" xr3:uid="{99847D24-53EE-42AC-9C81-937B750A4E26}" name="Solucion del Problem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771758EB-95FA-4516-B640-FAC4AE09346B}" name="Table116" displayName="Table116" ref="E1:E4" totalsRowShown="0">
  <autoFilter ref="E1:E4" xr:uid="{B1BA5E0F-DADA-45EC-8D33-13DAE112CB2D}"/>
  <tableColumns count="1">
    <tableColumn id="1" xr3:uid="{C122ABA7-F837-4FBC-8F64-4929E463EB1E}" name="Reasignacion de 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B486BB4-5D4A-4C80-816C-308E59AB15FD}" name="Table117" displayName="Table117" ref="G1:G5" totalsRowShown="0">
  <autoFilter ref="G1:G5" xr:uid="{D7461AF7-99E3-4F81-9E0C-0DA6FBD1B92F}"/>
  <tableColumns count="1">
    <tableColumn id="1" xr3:uid="{CE0122BC-F3C9-4C9D-B59F-322415118BE5}" name="Entrega Producto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6FA9690-B56F-461A-98E7-43F5FC312819}" name="Table118" displayName="Table118" ref="I1:I4" totalsRowShown="0">
  <autoFilter ref="I1:I4" xr:uid="{A1726F76-C52F-4DC9-BC71-1269662A2E26}"/>
  <tableColumns count="1">
    <tableColumn id="1" xr3:uid="{377F955C-416A-4831-9B0B-FE086DF5EAF7}" name="Seguimiento Soluc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D7C10F3C-5986-4F8D-AD0F-B22D95D58C3C}" name="Table119" displayName="Table119" ref="K1:K3" totalsRowShown="0">
  <autoFilter ref="K1:K3" xr:uid="{C02E177E-8B74-4F09-9CD0-3DCA4105AEFB}"/>
  <tableColumns count="1">
    <tableColumn id="1" xr3:uid="{76FAF175-F955-4A01-AAB0-673532E9752A}" name="Estad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ERFILES" displayName="PERFILES" ref="B3:B8" totalsRowShown="0">
  <autoFilter ref="B3:B8" xr:uid="{00000000-0009-0000-0100-000001000000}"/>
  <sortState xmlns:xlrd2="http://schemas.microsoft.com/office/spreadsheetml/2017/richdata2" ref="B4:B8">
    <sortCondition ref="B4"/>
  </sortState>
  <tableColumns count="1">
    <tableColumn id="1" xr3:uid="{00000000-0010-0000-0000-000001000000}" name="PERFIL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MODGERENC" displayName="MODGERENC" ref="D3:D8" totalsRowShown="0">
  <autoFilter ref="D3:D8" xr:uid="{00000000-0009-0000-0100-000002000000}"/>
  <tableColumns count="1">
    <tableColumn id="1" xr3:uid="{00000000-0010-0000-0100-000001000000}" name="MOD-PERFIL GERENCIAL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ERMISOS" displayName="PERMISOS" ref="F3:F6" totalsRowShown="0">
  <autoFilter ref="F3:F6" xr:uid="{00000000-0009-0000-0100-000003000000}"/>
  <tableColumns count="1">
    <tableColumn id="1" xr3:uid="{00000000-0010-0000-0200-000001000000}" name="PERMISO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Consideraciones" displayName="TConsideraciones" ref="B4:B8" totalsRowShown="0">
  <autoFilter ref="B4:B8" xr:uid="{00000000-0009-0000-0100-000006000000}"/>
  <sortState xmlns:xlrd2="http://schemas.microsoft.com/office/spreadsheetml/2017/richdata2" ref="B5:B8">
    <sortCondition descending="1" ref="B4:B8"/>
  </sortState>
  <tableColumns count="1">
    <tableColumn id="1" xr3:uid="{00000000-0010-0000-0300-000001000000}" name="Columna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TConsideraciones2" displayName="TConsideraciones2" ref="B11:B14" totalsRowShown="0" headerRowDxfId="178" headerRowBorderDxfId="177" tableBorderDxfId="176" totalsRowBorderDxfId="175">
  <autoFilter ref="B11:B14" xr:uid="{00000000-0009-0000-0100-000007000000}"/>
  <tableColumns count="1">
    <tableColumn id="1" xr3:uid="{00000000-0010-0000-0400-000001000000}" name="Columna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Condiciones" displayName="tCondiciones" ref="E3:J5" totalsRowShown="0">
  <autoFilter ref="E3:J5" xr:uid="{00000000-0009-0000-0100-000008000000}"/>
  <tableColumns count="6">
    <tableColumn id="1" xr3:uid="{00000000-0010-0000-0500-000001000000}" name="Condicion"/>
    <tableColumn id="2" xr3:uid="{00000000-0010-0000-0500-000002000000}" name="Parametro "/>
    <tableColumn id="3" xr3:uid="{00000000-0010-0000-0500-000003000000}" name="Operador "/>
    <tableColumn id="4" xr3:uid="{00000000-0010-0000-0500-000004000000}" name="Variable"/>
    <tableColumn id="5" xr3:uid="{00000000-0010-0000-0500-000005000000}" name="AccionV"/>
    <tableColumn id="6" xr3:uid="{00000000-0010-0000-0500-000006000000}" name="AccionF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metodos" displayName="tmetodos" ref="L3:M5" totalsRowShown="0" headerRowDxfId="174">
  <autoFilter ref="L3:M5" xr:uid="{00000000-0009-0000-0100-000009000000}"/>
  <tableColumns count="2">
    <tableColumn id="1" xr3:uid="{00000000-0010-0000-0600-000001000000}" name="CodMetod"/>
    <tableColumn id="2" xr3:uid="{00000000-0010-0000-0600-000002000000}" name="Descripcio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tformulas" displayName="tformulas" ref="O3:R6" totalsRowShown="0">
  <autoFilter ref="O3:R6" xr:uid="{00000000-0009-0000-0100-00000A000000}"/>
  <tableColumns count="4">
    <tableColumn id="1" xr3:uid="{00000000-0010-0000-0700-000001000000}" name="CodMetodo"/>
    <tableColumn id="2" xr3:uid="{00000000-0010-0000-0700-000002000000}" name="Variable"/>
    <tableColumn id="3" xr3:uid="{00000000-0010-0000-0700-000003000000}" name="Secuencia"/>
    <tableColumn id="4" xr3:uid="{00000000-0010-0000-0700-000004000000}" name="Operador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Area" displayName="Area" ref="D18:D19" totalsRowShown="0">
  <autoFilter ref="D18:D19" xr:uid="{00000000-0009-0000-0100-000005000000}"/>
  <tableColumns count="1">
    <tableColumn id="1" xr3:uid="{00000000-0010-0000-0800-000001000000}" name="Are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problema" displayName="problema" ref="B18:B28" totalsRowShown="0">
  <autoFilter ref="B18:B28" xr:uid="{00000000-0009-0000-0100-00000C000000}"/>
  <tableColumns count="1">
    <tableColumn id="1" xr3:uid="{00000000-0010-0000-0900-000001000000}" name="Problema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Tabla13" displayName="Tabla13" ref="F18:F25" totalsRowShown="0">
  <autoFilter ref="F18:F25" xr:uid="{00000000-0009-0000-0100-00000D000000}"/>
  <tableColumns count="1">
    <tableColumn id="1" xr3:uid="{00000000-0010-0000-0A00-000001000000}" name="Solucion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especialistaarea" displayName="especialistaarea" ref="H18:H19" totalsRowShown="0">
  <autoFilter ref="H18:H19" xr:uid="{00000000-0009-0000-0100-00000E000000}"/>
  <tableColumns count="1">
    <tableColumn id="1" xr3:uid="{00000000-0010-0000-0B00-000001000000}" name="Especialista Area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C000000}" name="TpoReclamosHabil" displayName="TpoReclamosHabil" ref="B32:D37" totalsRowShown="0">
  <autoFilter ref="B32:D37" xr:uid="{00000000-0009-0000-0100-000020000000}"/>
  <tableColumns count="3">
    <tableColumn id="1" xr3:uid="{00000000-0010-0000-0C00-000001000000}" name="Segmento"/>
    <tableColumn id="2" xr3:uid="{00000000-0010-0000-0C00-000002000000}" name="Tipo de Problemas"/>
    <tableColumn id="3" xr3:uid="{12EE9C2E-1C6C-42EC-A107-E1E480896E0E}" name="Estado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D000000}" name="var" displayName="var" ref="F32:F37" totalsRowShown="0">
  <autoFilter ref="F32:F37" xr:uid="{00000000-0009-0000-0100-000021000000}"/>
  <tableColumns count="1">
    <tableColumn id="1" xr3:uid="{00000000-0010-0000-0D00-000001000000}" name="Columna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E000000}" name="varsegundo" displayName="varsegundo" ref="H32:H40" totalsRowShown="0" headerRowDxfId="173" headerRowBorderDxfId="172" tableBorderDxfId="171">
  <autoFilter ref="H32:H40" xr:uid="{00000000-0009-0000-0100-000022000000}"/>
  <tableColumns count="1">
    <tableColumn id="1" xr3:uid="{00000000-0010-0000-0E00-000001000000}" name="Coumna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0F000000}" name="varhabil" displayName="varhabil" ref="J33:J37" totalsRowShown="0">
  <autoFilter ref="J33:J37" xr:uid="{00000000-0009-0000-0100-000023000000}"/>
  <tableColumns count="1">
    <tableColumn id="1" xr3:uid="{00000000-0010-0000-0F00-000001000000}" name="Columna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0000000}" name="TpoReclamosGrabado" displayName="TpoReclamosGrabado" ref="B42:D48" totalsRowShown="0">
  <autoFilter ref="B42:D48" xr:uid="{00000000-0009-0000-0100-000024000000}"/>
  <tableColumns count="3">
    <tableColumn id="1" xr3:uid="{00000000-0010-0000-1000-000001000000}" name="Tipo de Bien"/>
    <tableColumn id="2" xr3:uid="{00000000-0010-0000-1000-000002000000}" name="Tipo de Problema"/>
    <tableColumn id="3" xr3:uid="{31B49F8D-342C-40BC-942E-9C9683449AD5}" name="Estado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1000000}" name="tipobieninicial" displayName="tipobieninicial" ref="A51:D65" totalsRowShown="0">
  <autoFilter ref="A51:D65" xr:uid="{00000000-0009-0000-0100-000025000000}"/>
  <tableColumns count="4">
    <tableColumn id="1" xr3:uid="{00000000-0010-0000-1100-000001000000}" name="Segmento " dataDxfId="170"/>
    <tableColumn id="2" xr3:uid="{00000000-0010-0000-1100-000002000000}" name="Familia" dataDxfId="169"/>
    <tableColumn id="3" xr3:uid="{00000000-0010-0000-1100-000003000000}" name="Clase" dataDxfId="168"/>
    <tableColumn id="4" xr3:uid="{00000000-0010-0000-1100-000004000000}" name="Bien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2000000}" name="lineas" displayName="lineas" ref="J43:J47" totalsRowShown="0">
  <autoFilter ref="J43:J47" xr:uid="{00000000-0009-0000-0100-000026000000}"/>
  <tableColumns count="1">
    <tableColumn id="1" xr3:uid="{00000000-0010-0000-1200-000001000000}" name="Columna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3000000}" name="lineasnuevo" displayName="lineasnuevo" ref="L44:L49" totalsRowShown="0">
  <autoFilter ref="L44:L49" xr:uid="{00000000-0009-0000-0100-000027000000}"/>
  <tableColumns count="1">
    <tableColumn id="1" xr3:uid="{00000000-0010-0000-1300-000001000000}" name="Columna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4000000}" name="prod" displayName="prod" ref="H50:H57" totalsRowShown="0">
  <autoFilter ref="H50:H57" xr:uid="{00000000-0009-0000-0100-000028000000}"/>
  <tableColumns count="1">
    <tableColumn id="1" xr3:uid="{00000000-0010-0000-1400-000001000000}" name="Columna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15000000}" name="prodnuevo" displayName="prodnuevo" ref="J51:J59" totalsRowShown="0">
  <autoFilter ref="J51:J59" xr:uid="{00000000-0009-0000-0100-000029000000}"/>
  <tableColumns count="1">
    <tableColumn id="1" xr3:uid="{00000000-0010-0000-1500-000001000000}" name="Columna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6000000}" name="tipobiennuevo" displayName="tipobiennuevo" ref="L52:N58" totalsRowShown="0">
  <autoFilter ref="L52:N58" xr:uid="{00000000-0009-0000-0100-00002B000000}"/>
  <tableColumns count="3">
    <tableColumn id="1" xr3:uid="{00000000-0010-0000-1600-000001000000}" name="Familia"/>
    <tableColumn id="2" xr3:uid="{00000000-0010-0000-1600-000002000000}" name="Clase"/>
    <tableColumn id="3" xr3:uid="{00000000-0010-0000-1600-000003000000}" name="Bien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17000000}" name="tpobienbusqueda" displayName="tpobienbusqueda" ref="P52:S57" totalsRowShown="0" headerRowDxfId="167" headerRowBorderDxfId="166" tableBorderDxfId="165" totalsRowBorderDxfId="164">
  <autoFilter ref="P52:S57" xr:uid="{00000000-0009-0000-0100-00002A000000}"/>
  <tableColumns count="4">
    <tableColumn id="1" xr3:uid="{00000000-0010-0000-1700-000001000000}" name="Segmento"/>
    <tableColumn id="2" xr3:uid="{00000000-0010-0000-1700-000002000000}" name="Familia" dataDxfId="163"/>
    <tableColumn id="3" xr3:uid="{00000000-0010-0000-1700-000003000000}" name="Clase" dataDxfId="162"/>
    <tableColumn id="4" xr3:uid="{00000000-0010-0000-1700-000004000000}" name="Bien" dataDxfId="16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18000000}" name="areasinicio" displayName="areasinicio" ref="C67:C71" totalsRowShown="0">
  <autoFilter ref="C67:C71" xr:uid="{00000000-0009-0000-0100-00002C000000}"/>
  <tableColumns count="1">
    <tableColumn id="1" xr3:uid="{00000000-0010-0000-1800-000001000000}" name="Columna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19000000}" name="areasbuscar" displayName="areasbuscar" ref="E67:E72" totalsRowShown="0">
  <autoFilter ref="E67:E72" xr:uid="{00000000-0009-0000-0100-00002D000000}"/>
  <tableColumns count="1">
    <tableColumn id="1" xr3:uid="{00000000-0010-0000-1900-000001000000}" name="Columna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1A000000}" name="areashabil" displayName="areashabil" ref="G67:G71" totalsRowShown="0">
  <autoFilter ref="G67:G71" xr:uid="{00000000-0009-0000-0100-00002E000000}"/>
  <tableColumns count="1">
    <tableColumn id="1" xr3:uid="{00000000-0010-0000-1A00-000001000000}" name="Columna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B000000}" name="especinicial" displayName="especinicial" ref="I67:I70" totalsRowShown="0">
  <autoFilter ref="I67:I70" xr:uid="{00000000-0009-0000-0100-00002F000000}"/>
  <tableColumns count="1">
    <tableColumn id="1" xr3:uid="{00000000-0010-0000-1B00-000001000000}" name="Columna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1C000000}" name="especnuevo" displayName="especnuevo" ref="I62:I66" totalsRowShown="0">
  <autoFilter ref="I62:I66" xr:uid="{00000000-0009-0000-0100-000030000000}"/>
  <tableColumns count="1">
    <tableColumn id="1" xr3:uid="{00000000-0010-0000-1C00-000001000000}" name="Columna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1D000000}" name="especdos" displayName="especdos" ref="I73:I76" totalsRowShown="0">
  <autoFilter ref="I73:I76" xr:uid="{00000000-0009-0000-0100-000031000000}"/>
  <tableColumns count="1">
    <tableColumn id="1" xr3:uid="{00000000-0010-0000-1D00-000001000000}" name="Columna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1E000000}" name="ambito" displayName="ambito" ref="G61:G64" totalsRowShown="0">
  <autoFilter ref="G61:G64" xr:uid="{00000000-0009-0000-0100-000032000000}"/>
  <tableColumns count="1">
    <tableColumn id="1" xr3:uid="{00000000-0010-0000-1E00-000001000000}" name="Columna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1F000000}" name="ambitohabil" displayName="ambitohabil" ref="H61:H63" totalsRowShown="0">
  <autoFilter ref="H61:H63" xr:uid="{00000000-0009-0000-0100-000033000000}"/>
  <tableColumns count="1">
    <tableColumn id="1" xr3:uid="{00000000-0010-0000-1F00-000001000000}" name="Columna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20000000}" name="sectoresuno" displayName="sectoresuno" ref="J63:J66" totalsRowShown="0">
  <autoFilter ref="J63:J66" xr:uid="{00000000-0009-0000-0100-000034000000}"/>
  <tableColumns count="1">
    <tableColumn id="1" xr3:uid="{00000000-0010-0000-2000-000001000000}" name="Columna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21000000}" name="sectoresdos" displayName="sectoresdos" ref="K63:K65" totalsRowShown="0">
  <autoFilter ref="K63:K65" xr:uid="{00000000-0009-0000-0100-000035000000}"/>
  <tableColumns count="1">
    <tableColumn id="1" xr3:uid="{00000000-0010-0000-2100-000001000000}" name="Columna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22000000}" name="locuno" displayName="locuno" ref="F63:F66" totalsRowShown="0">
  <autoFilter ref="F63:F66" xr:uid="{00000000-0009-0000-0100-000036000000}"/>
  <tableColumns count="1">
    <tableColumn id="1" xr3:uid="{00000000-0010-0000-2200-000001000000}" name="Columna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23000000}" name="locdos" displayName="locdos" ref="F69:F71" totalsRowShown="0">
  <autoFilter ref="F69:F71" xr:uid="{00000000-0009-0000-0100-000037000000}"/>
  <tableColumns count="1">
    <tableColumn id="1" xr3:uid="{00000000-0010-0000-2300-000001000000}" name="Columna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24000000}" name="idiomauno" displayName="idiomauno" ref="H70:H73" totalsRowShown="0">
  <autoFilter ref="H70:H73" xr:uid="{00000000-0009-0000-0100-000038000000}"/>
  <tableColumns count="1">
    <tableColumn id="1" xr3:uid="{00000000-0010-0000-2400-000001000000}" name="Columna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25000000}" name="idiomados" displayName="idiomados" ref="G75:G77" totalsRowShown="0" headerRowDxfId="160" dataDxfId="159">
  <autoFilter ref="G75:G77" xr:uid="{00000000-0009-0000-0100-000039000000}"/>
  <tableColumns count="1">
    <tableColumn id="1" xr3:uid="{00000000-0010-0000-2500-000001000000}" name="Columna1" dataDxfId="158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26000000}" name="tpoproblemasinicio" displayName="tpoproblemasinicio" ref="B79:E89" totalsRowShown="0">
  <autoFilter ref="B79:E89" xr:uid="{00000000-0009-0000-0100-00003A000000}"/>
  <tableColumns count="4">
    <tableColumn id="1" xr3:uid="{00000000-0010-0000-2600-000001000000}" name="Segmento"/>
    <tableColumn id="2" xr3:uid="{00000000-0010-0000-2600-000002000000}" name="Familia"/>
    <tableColumn id="3" xr3:uid="{00000000-0010-0000-2600-000003000000}" name="Tipo Problema"/>
    <tableColumn id="4" xr3:uid="{00000000-0010-0000-2600-000004000000}" name="Problema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27000000}" name="tpoproblemasdos" displayName="tpoproblemasdos" ref="G81:J85" totalsRowShown="0" tableBorderDxfId="157">
  <autoFilter ref="G81:J85" xr:uid="{00000000-0009-0000-0100-00003B000000}"/>
  <tableColumns count="4">
    <tableColumn id="1" xr3:uid="{00000000-0010-0000-2700-000001000000}" name="Segmento"/>
    <tableColumn id="2" xr3:uid="{00000000-0010-0000-2700-000002000000}" name="Familia"/>
    <tableColumn id="3" xr3:uid="{00000000-0010-0000-2700-000003000000}" name="Tipo Problema"/>
    <tableColumn id="4" xr3:uid="{00000000-0010-0000-2700-000004000000}" name="Problema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28000000}" name="tpoproblemasuno" displayName="tpoproblemasuno" ref="H89:H92" totalsRowShown="0">
  <autoFilter ref="H89:H92" xr:uid="{00000000-0009-0000-0100-00003C000000}"/>
  <tableColumns count="1">
    <tableColumn id="1" xr3:uid="{00000000-0010-0000-2800-000001000000}" name="Columna1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29000000}" name="Tabla61" displayName="Tabla61" ref="I90:I92" totalsRowShown="0">
  <autoFilter ref="I90:I92" xr:uid="{00000000-0009-0000-0100-00003D000000}"/>
  <tableColumns count="1">
    <tableColumn id="1" xr3:uid="{00000000-0010-0000-2900-000001000000}" name="Columna1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2A000000}" name="Tabla62" displayName="Tabla62" ref="F91:F94" totalsRowShown="0">
  <autoFilter ref="F91:F94" xr:uid="{00000000-0009-0000-0100-00003E000000}"/>
  <tableColumns count="1">
    <tableColumn id="1" xr3:uid="{00000000-0010-0000-2A00-000001000000}" name="Columna1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2B000000}" name="Tabla64" displayName="Tabla64" ref="D95:D97" totalsRowShown="0">
  <autoFilter ref="D95:D97" xr:uid="{00000000-0009-0000-0100-000040000000}"/>
  <tableColumns count="1">
    <tableColumn id="1" xr3:uid="{00000000-0010-0000-2B00-000001000000}" name="Columna1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C000000}" name="Tabla4" displayName="Tabla4" ref="I100:M108" totalsRowShown="0" headerRowDxfId="156">
  <autoFilter ref="I100:M108" xr:uid="{00000000-0009-0000-0100-000004000000}"/>
  <tableColumns count="5">
    <tableColumn id="1" xr3:uid="{00000000-0010-0000-2C00-000001000000}" name="Inspeccion del producto"/>
    <tableColumn id="2" xr3:uid="{00000000-0010-0000-2C00-000002000000}" name="Solucion del problema"/>
    <tableColumn id="3" xr3:uid="{00000000-0010-0000-2C00-000003000000}" name="Reasignacion de Area "/>
    <tableColumn id="4" xr3:uid="{00000000-0010-0000-2C00-000004000000}" name="Entrega del producto "/>
    <tableColumn id="5" xr3:uid="{00000000-0010-0000-2C00-000005000000}" name="Seguimiento solucion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2D000000}" name="INDICADOR" displayName="INDICADOR" ref="J109:J121" totalsRowShown="0">
  <autoFilter ref="J109:J121" xr:uid="{00000000-0009-0000-0100-00003F000000}"/>
  <tableColumns count="1">
    <tableColumn id="1" xr3:uid="{00000000-0010-0000-2D00-000001000000}" name="indicadores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2E000000}" name="lineasnuevo66" displayName="lineasnuevo66" ref="N44:N50" totalsRowShown="0">
  <autoFilter ref="N44:N50" xr:uid="{00000000-0009-0000-0100-000041000000}"/>
  <tableColumns count="1">
    <tableColumn id="1" xr3:uid="{00000000-0010-0000-2E00-000001000000}" name="Columna1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2F000000}" name="Tabla66" displayName="Tabla66" ref="N67:N70" totalsRowShown="0">
  <autoFilter ref="N67:N70" xr:uid="{00000000-0009-0000-0100-000042000000}"/>
  <tableColumns count="1">
    <tableColumn id="1" xr3:uid="{00000000-0010-0000-2F00-000001000000}" name="Columna1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30000000}" name="Tabla68" displayName="Tabla68" ref="Q66:Q70" totalsRowShown="0" headerRowDxfId="155" headerRowBorderDxfId="154" tableBorderDxfId="153" totalsRowBorderDxfId="152">
  <autoFilter ref="Q66:Q70" xr:uid="{00000000-0009-0000-0100-000044000000}"/>
  <tableColumns count="1">
    <tableColumn id="1" xr3:uid="{00000000-0010-0000-3000-000001000000}" name="Columna1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31000000}" name="Tabla67" displayName="Tabla67" ref="O95:S101" totalsRowShown="0" headerRowDxfId="151" dataDxfId="149" headerRowBorderDxfId="150" tableBorderDxfId="148" totalsRowBorderDxfId="147">
  <autoFilter ref="O95:S101" xr:uid="{00000000-0009-0000-0100-000043000000}"/>
  <tableColumns count="5">
    <tableColumn id="1" xr3:uid="{00000000-0010-0000-3100-000001000000}" name="Columna1" dataDxfId="146"/>
    <tableColumn id="2" xr3:uid="{00000000-0010-0000-3100-000002000000}" name="Columna2" dataDxfId="145"/>
    <tableColumn id="3" xr3:uid="{00000000-0010-0000-3100-000003000000}" name="Columna3" dataDxfId="144"/>
    <tableColumn id="4" xr3:uid="{00000000-0010-0000-3100-000004000000}" name="Columna4" dataDxfId="143"/>
    <tableColumn id="5" xr3:uid="{00000000-0010-0000-3100-000005000000}" name="Columna5" dataDxfId="142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32000000}" name="Protocolocons" displayName="Protocolocons" ref="U95:Y102" totalsRowShown="0">
  <autoFilter ref="U95:Y102" xr:uid="{00000000-0009-0000-0100-000045000000}"/>
  <tableColumns count="5">
    <tableColumn id="1" xr3:uid="{00000000-0010-0000-3200-000001000000}" name="IdReclamo"/>
    <tableColumn id="2" xr3:uid="{00000000-0010-0000-3200-000002000000}" name="Fecha de emision"/>
    <tableColumn id="3" xr3:uid="{00000000-0010-0000-3200-000003000000}" name="Estado"/>
    <tableColumn id="4" xr3:uid="{00000000-0010-0000-3200-000004000000}" name="Fecha de Atencion "/>
    <tableColumn id="5" xr3:uid="{00000000-0010-0000-3200-000005000000}" name="Hora de Atencion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9B39C9DB-2B1E-416D-BB15-BA84F9FEDE7F}" name="Table124" displayName="Table124" ref="A1:D15" totalsRowShown="0" headerRowDxfId="141" dataDxfId="140">
  <autoFilter ref="A1:D15" xr:uid="{0FDE6C0F-9AD5-4170-B5DC-2430CE64A114}"/>
  <tableColumns count="4">
    <tableColumn id="1" xr3:uid="{5CD2B3A8-19D6-405E-9639-7ACF88E6B49B}" name="Segmento " dataDxfId="139"/>
    <tableColumn id="2" xr3:uid="{AE975483-FD9E-4960-8CBE-EC4E1381825E}" name="Familia" dataDxfId="138"/>
    <tableColumn id="3" xr3:uid="{377079FA-FF9D-4AB8-9BC7-BCE38542007A}" name="Clase" dataDxfId="137"/>
    <tableColumn id="4" xr3:uid="{E635E2C6-73D6-46A2-A2A9-BDFC448F2C52}" name="Bien" dataDxfId="136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2A64D845-83ED-4FC4-B5D3-40B11A044FDD}" name="Table125" displayName="Table125" ref="A1:A9" totalsRowShown="0" headerRowDxfId="135" dataDxfId="133" headerRowBorderDxfId="134" tableBorderDxfId="132">
  <autoFilter ref="A1:A9" xr:uid="{F39C5AB4-6B26-4D50-AF6C-A85F1A1811AF}"/>
  <tableColumns count="1">
    <tableColumn id="1" xr3:uid="{9E405F56-5E87-427E-90F3-3F85479CEEFF}" name="Segmento " dataDxfId="131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F17BD211-7660-4DDE-8227-2C9CDA348CA8}" name="Table126" displayName="Table126" ref="A1:A5" totalsRowShown="0">
  <autoFilter ref="A1:A5" xr:uid="{7C3692EB-78BC-457C-AEF9-5B73E2F21BA6}"/>
  <tableColumns count="1">
    <tableColumn id="1" xr3:uid="{10504A05-95B1-49A3-8C9A-4CBD628846B3}" name="Familia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F54D0B17-736D-4BFA-8F45-B2E71818451F}" name="Table127" displayName="Table127" ref="A1:A4" totalsRowShown="0">
  <autoFilter ref="A1:A4" xr:uid="{A02C6CE3-5942-4462-9330-7FD65E53BC5F}"/>
  <tableColumns count="1">
    <tableColumn id="1" xr3:uid="{33CF4429-A9D1-461A-AA31-09DDF8748CA1}" name="Familia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2880648F-6C3F-4471-B1AE-650CCA97900C}" name="Table128" displayName="Table128" ref="A1:A8" totalsRowShown="0" headerRowDxfId="130" dataDxfId="128" headerRowBorderDxfId="129" tableBorderDxfId="127" totalsRowBorderDxfId="126">
  <autoFilter ref="A1:A8" xr:uid="{45F6CE37-4437-4D78-9021-E9D914A86FB1}"/>
  <tableColumns count="1">
    <tableColumn id="1" xr3:uid="{5F01A558-E46E-410E-AEEE-9D6FD6A8327A}" name="Clase" dataDxfId="125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4AF95EF-9280-4AAF-81C5-694A4C853CA2}" name="Table129" displayName="Table129" ref="A1:A5" totalsRowShown="0" headerRowDxfId="124" dataDxfId="122" headerRowBorderDxfId="123" tableBorderDxfId="121" totalsRowBorderDxfId="120">
  <autoFilter ref="A1:A5" xr:uid="{EFF1C414-22DF-47A0-8C73-779296401BF6}"/>
  <tableColumns count="1">
    <tableColumn id="1" xr3:uid="{7089F902-9CE1-4D94-96D8-BEDB8824C834}" name="Clase" dataDxfId="119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F6A598E2-DB46-426B-825A-F62C085EFCCA}" name="Table130" displayName="Table130" ref="A1:A15" totalsRowShown="0" headerRowDxfId="118" dataDxfId="116" headerRowBorderDxfId="117" tableBorderDxfId="115" totalsRowBorderDxfId="114">
  <autoFilter ref="A1:A15" xr:uid="{E20F6291-8EBD-4DB1-BCE4-A1FEFF9DCDA9}"/>
  <tableColumns count="1">
    <tableColumn id="1" xr3:uid="{820CEDD3-14D0-4F7A-A072-751CA89F7621}" name="Bien" dataDxfId="113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88AC8022-4E00-4545-A617-73CC97F69D46}" name="Table131" displayName="Table131" ref="A1:A7" totalsRowShown="0" headerRowDxfId="112" dataDxfId="110" headerRowBorderDxfId="111" tableBorderDxfId="109" totalsRowBorderDxfId="108">
  <autoFilter ref="A1:A7" xr:uid="{4B42F234-5322-42F7-900C-BC2B4D1A5BB0}"/>
  <tableColumns count="1">
    <tableColumn id="1" xr3:uid="{2BB2540C-2DBB-42CB-BEF3-129DB55BB106}" name="Bien" dataDxfId="107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33000000}" name="busqueda" displayName="busqueda" ref="D3:H18" totalsRowShown="0">
  <autoFilter ref="D3:H18" xr:uid="{00000000-0009-0000-0100-00000B000000}"/>
  <tableColumns count="5">
    <tableColumn id="1" xr3:uid="{00000000-0010-0000-3300-000001000000}" name="Tipo Bien"/>
    <tableColumn id="2" xr3:uid="{00000000-0010-0000-3300-000002000000}" name="Tipo Producto"/>
    <tableColumn id="3" xr3:uid="{00000000-0010-0000-3300-000003000000}" name="Item"/>
    <tableColumn id="4" xr3:uid="{00000000-0010-0000-3300-000004000000}" name="Marca"/>
    <tableColumn id="5" xr3:uid="{00000000-0010-0000-3300-000005000000}" name="Modelo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34000000}" name="tipoProblema" displayName="tipoProblema" ref="J3:K21" totalsRowShown="0">
  <autoFilter ref="J3:K21" xr:uid="{00000000-0009-0000-0100-00000F000000}"/>
  <tableColumns count="2">
    <tableColumn id="1" xr3:uid="{00000000-0010-0000-3400-000001000000}" name="Tipo Problema"/>
    <tableColumn id="2" xr3:uid="{00000000-0010-0000-3400-000002000000}" name="Problema" dataDxfId="106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35000000}" name="tipoGarantia" displayName="tipoGarantia" ref="N3:P11" totalsRowShown="0">
  <autoFilter ref="N3:P11" xr:uid="{00000000-0009-0000-0100-000010000000}"/>
  <tableColumns count="3">
    <tableColumn id="1" xr3:uid="{00000000-0010-0000-3500-000001000000}" name="Tipo Garantia"/>
    <tableColumn id="2" xr3:uid="{00000000-0010-0000-3500-000002000000}" name="garantia"/>
    <tableColumn id="3" xr3:uid="{00000000-0010-0000-3500-000003000000}" name="Cod_garantia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36000000}" name="tipoReclamo" displayName="tipoReclamo" ref="R3:AA15" totalsRowShown="0">
  <autoFilter ref="R3:AA15" xr:uid="{00000000-0009-0000-0100-000011000000}"/>
  <tableColumns count="10">
    <tableColumn id="1" xr3:uid="{00000000-0010-0000-3600-000001000000}" name="Id_Tipo_Reclamo"/>
    <tableColumn id="2" xr3:uid="{00000000-0010-0000-3600-000002000000}" name="Tipo_Bien"/>
    <tableColumn id="3" xr3:uid="{00000000-0010-0000-3600-000003000000}" name="Tipo_producto"/>
    <tableColumn id="4" xr3:uid="{00000000-0010-0000-3600-000004000000}" name="Item"/>
    <tableColumn id="5" xr3:uid="{00000000-0010-0000-3600-000005000000}" name="Marca"/>
    <tableColumn id="6" xr3:uid="{00000000-0010-0000-3600-000006000000}" name="Modelo"/>
    <tableColumn id="7" xr3:uid="{00000000-0010-0000-3600-000007000000}" name="Tipo_problema"/>
    <tableColumn id="8" xr3:uid="{00000000-0010-0000-3600-000008000000}" name="Problema"/>
    <tableColumn id="11" xr3:uid="{00000000-0010-0000-3600-00000B000000}" name="Tipo_Cola"/>
    <tableColumn id="12" xr3:uid="{00000000-0010-0000-3600-00000C000000}" name="Tipo Canal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37000000}" name="condicion" displayName="condicion" ref="AG3:AL6" totalsRowShown="0">
  <autoFilter ref="AG3:AL6" xr:uid="{00000000-0009-0000-0100-000012000000}"/>
  <tableColumns count="6">
    <tableColumn id="1" xr3:uid="{00000000-0010-0000-3700-000001000000}" name="Condicion"/>
    <tableColumn id="2" xr3:uid="{00000000-0010-0000-3700-000002000000}" name="Parametro"/>
    <tableColumn id="3" xr3:uid="{00000000-0010-0000-3700-000003000000}" name="Operador"/>
    <tableColumn id="4" xr3:uid="{00000000-0010-0000-3700-000004000000}" name="Variable"/>
    <tableColumn id="5" xr3:uid="{00000000-0010-0000-3700-000005000000}" name="Accion_V"/>
    <tableColumn id="6" xr3:uid="{00000000-0010-0000-3700-000006000000}" name="Accion_F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38000000}" name="metodo" displayName="metodo" ref="AQ3:AT8" totalsRowShown="0">
  <autoFilter ref="AQ3:AT8" xr:uid="{00000000-0009-0000-0100-000013000000}"/>
  <tableColumns count="4">
    <tableColumn id="1" xr3:uid="{00000000-0010-0000-3800-000001000000}" name="cod_metodo"/>
    <tableColumn id="2" xr3:uid="{00000000-0010-0000-3800-000002000000}" name="variable"/>
    <tableColumn id="3" xr3:uid="{00000000-0010-0000-3800-000003000000}" name="secuencia"/>
    <tableColumn id="4" xr3:uid="{00000000-0010-0000-3800-000004000000}" name="operador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39000000}" name="Titems" displayName="Titems" ref="D21:D25" totalsRowShown="0">
  <autoFilter ref="D21:D25" xr:uid="{00000000-0009-0000-0100-000014000000}"/>
  <tableColumns count="1">
    <tableColumn id="1" xr3:uid="{00000000-0010-0000-3900-000001000000}" name="items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3A000000}" name="itemsh" displayName="itemsh" ref="G21:G24" totalsRowShown="0">
  <autoFilter ref="G21:G24" xr:uid="{00000000-0009-0000-0100-000015000000}"/>
  <tableColumns count="1">
    <tableColumn id="1" xr3:uid="{00000000-0010-0000-3A00-000001000000}" name="itemshabilitados"/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3B000000}" name="solucion" displayName="solucion" ref="AD3:AD11" totalsRowShown="0" headerRowDxfId="105" headerRowBorderDxfId="104">
  <autoFilter ref="AD3:AD11" xr:uid="{00000000-0009-0000-0100-000016000000}"/>
  <tableColumns count="1">
    <tableColumn id="1" xr3:uid="{00000000-0010-0000-3B00-000001000000}" name="Solucion"/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3C000000}" name="codmet" displayName="codmet" ref="AN3:AO5" totalsRowShown="0" headerRowDxfId="103" headerRowBorderDxfId="102" tableBorderDxfId="101" totalsRowBorderDxfId="100">
  <autoFilter ref="AN3:AO5" xr:uid="{00000000-0009-0000-0100-000017000000}"/>
  <tableColumns count="2">
    <tableColumn id="1" xr3:uid="{00000000-0010-0000-3C00-000001000000}" name="cod_met"/>
    <tableColumn id="2" xr3:uid="{00000000-0010-0000-3C00-000002000000}" name="descripcion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3D000000}" name="tipoReclamo5" displayName="tipoReclamo5" ref="R31:W37" totalsRowShown="0">
  <autoFilter ref="R31:W37" xr:uid="{00000000-0009-0000-0100-000018000000}"/>
  <tableColumns count="6">
    <tableColumn id="1" xr3:uid="{00000000-0010-0000-3D00-000001000000}" name="Id_Tipo_Reclamo"/>
    <tableColumn id="2" xr3:uid="{00000000-0010-0000-3D00-000002000000}" name="Id_producto"/>
    <tableColumn id="7" xr3:uid="{00000000-0010-0000-3D00-000007000000}" name="Tipo_problema"/>
    <tableColumn id="8" xr3:uid="{00000000-0010-0000-3D00-000008000000}" name="Problema"/>
    <tableColumn id="11" xr3:uid="{00000000-0010-0000-3D00-00000B000000}" name="Tipo_Cola"/>
    <tableColumn id="12" xr3:uid="{00000000-0010-0000-3D00-00000C000000}" name="Canal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3E000000}" name="UnidadesTiempo" displayName="UnidadesTiempo" ref="G27:G32" totalsRowShown="0">
  <autoFilter ref="G27:G32" xr:uid="{00000000-0009-0000-0100-000019000000}"/>
  <tableColumns count="1">
    <tableColumn id="1" xr3:uid="{00000000-0010-0000-3E00-000001000000}" name="unidad_Tiempo"/>
  </tableColumns>
  <tableStyleInfo name="TableStyleMedium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3F000000}" name="TipoCliente" displayName="TipoCliente" ref="AG17:AG20" totalsRowShown="0">
  <autoFilter ref="AG17:AG20" xr:uid="{00000000-0009-0000-0100-00001A000000}"/>
  <tableColumns count="1">
    <tableColumn id="1" xr3:uid="{00000000-0010-0000-3F00-000001000000}" name="Tipo_Cliente"/>
  </tableColumns>
  <tableStyleInfo name="TableStyleMedium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40000000}" name="condicion2" displayName="condicion2" ref="AG10:AL13" totalsRowShown="0">
  <autoFilter ref="AG10:AL13" xr:uid="{00000000-0009-0000-0100-00001B000000}"/>
  <tableColumns count="6">
    <tableColumn id="1" xr3:uid="{00000000-0010-0000-4000-000001000000}" name="Condicion"/>
    <tableColumn id="2" xr3:uid="{00000000-0010-0000-4000-000002000000}" name="Parametro"/>
    <tableColumn id="3" xr3:uid="{00000000-0010-0000-4000-000003000000}" name="Operador"/>
    <tableColumn id="4" xr3:uid="{00000000-0010-0000-4000-000004000000}" name="Variable"/>
    <tableColumn id="5" xr3:uid="{00000000-0010-0000-4000-000005000000}" name="Accion_V"/>
    <tableColumn id="6" xr3:uid="{00000000-0010-0000-4000-000006000000}" name="Accion_F"/>
  </tableColumns>
  <tableStyleInfo name="TableStyleMedium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41000000}" name="codmet2" displayName="codmet2" ref="AN10:AO13" totalsRowShown="0" headerRowDxfId="99" headerRowBorderDxfId="98" tableBorderDxfId="97" totalsRowBorderDxfId="96">
  <autoFilter ref="AN10:AO13" xr:uid="{00000000-0009-0000-0100-00001C000000}"/>
  <tableColumns count="2">
    <tableColumn id="1" xr3:uid="{00000000-0010-0000-4100-000001000000}" name="cod_met"/>
    <tableColumn id="2" xr3:uid="{00000000-0010-0000-4100-000002000000}" name="descripcion"/>
  </tableColumns>
  <tableStyleInfo name="TableStyleMedium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42000000}" name="metodo2" displayName="metodo2" ref="AQ10:AT16" totalsRowShown="0">
  <autoFilter ref="AQ10:AT16" xr:uid="{00000000-0009-0000-0100-00001D000000}"/>
  <tableColumns count="4">
    <tableColumn id="1" xr3:uid="{00000000-0010-0000-4200-000001000000}" name="cod_metodo"/>
    <tableColumn id="2" xr3:uid="{00000000-0010-0000-4200-000002000000}" name="variable"/>
    <tableColumn id="3" xr3:uid="{00000000-0010-0000-4200-000003000000}" name="secuencia"/>
    <tableColumn id="4" xr3:uid="{00000000-0010-0000-4200-000004000000}" name="operador"/>
  </tableColumns>
  <tableStyleInfo name="TableStyleMedium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43000000}" name="areas" displayName="areas" ref="D28:D31" totalsRowShown="0">
  <autoFilter ref="D28:D31" xr:uid="{00000000-0009-0000-0100-00001E000000}"/>
  <tableColumns count="1">
    <tableColumn id="1" xr3:uid="{00000000-0010-0000-4300-000001000000}" name="Areas"/>
  </tableColumns>
  <tableStyleInfo name="TableStyleMedium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44000000}" name="iter" displayName="iter" ref="D34:D37" totalsRowShown="0">
  <autoFilter ref="D34:D37" xr:uid="{00000000-0009-0000-0100-00001F000000}"/>
  <tableColumns count="1">
    <tableColumn id="1" xr3:uid="{00000000-0010-0000-4400-000001000000}" name="Columna1"/>
  </tableColumns>
  <tableStyleInfo name="TableStyleMedium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FD45CE9D-59B1-451C-ABFB-56CBC7CD3E92}" name="Table105" displayName="Table105" ref="A1:A4" totalsRowShown="0">
  <autoFilter ref="A1:A4" xr:uid="{9B74531C-1B0C-4CF4-8754-F021FB74E42D}"/>
  <tableColumns count="1">
    <tableColumn id="1" xr3:uid="{3D92905F-DE07-4BB3-92A4-D4201305DB8D}" name="clientes"/>
  </tableColumns>
  <tableStyleInfo name="TableStyleMedium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66D17030-2A13-4C59-83E9-D8FB73C2796E}" name="Table108" displayName="Table108" ref="A1:A3" totalsRowShown="0">
  <autoFilter ref="A1:A3" xr:uid="{77970F57-E3FA-46F1-A026-726A72C12FC1}"/>
  <tableColumns count="1">
    <tableColumn id="1" xr3:uid="{48C9B0D4-72EF-449C-A3ED-0F1D98A02575}" name="Clientes"/>
  </tableColumns>
  <tableStyleInfo name="TableStyleMedium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4294AA8A-29C5-4D7F-AE49-346E14BC1A8C}" name="Table109" displayName="Table109" ref="A1:A5" totalsRowShown="0">
  <autoFilter ref="A1:A5" xr:uid="{4D4140FD-4B0D-490A-A897-8AF07F0884AD}"/>
  <tableColumns count="1">
    <tableColumn id="1" xr3:uid="{13E10334-E5A2-4217-96DF-B9A0DF509820}" name="Consideracion"/>
  </tableColumns>
  <tableStyleInfo name="TableStyleMedium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C765CA9A-7BEF-4A6D-ABF8-FC49F0C970E0}" name="Table110" displayName="Table110" ref="A1:A4" totalsRowShown="0" tableBorderDxfId="95">
  <autoFilter ref="A1:A4" xr:uid="{969E6062-6A89-41EE-8AA8-B08835BBED99}"/>
  <tableColumns count="1">
    <tableColumn id="1" xr3:uid="{11F8B2B2-55C5-4AFB-A713-1556F779DC35}" name="Consideracion"/>
  </tableColumns>
  <tableStyleInfo name="TableStyleMedium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84C00C9A-4954-4DD5-BF47-C26243E7C6EA}" name="Table95" displayName="Table95" ref="A1:C4" totalsRowShown="0" headerRowDxfId="94" headerRowBorderDxfId="93" tableBorderDxfId="92" totalsRowBorderDxfId="91">
  <autoFilter ref="A1:C4" xr:uid="{E50733A5-8D9D-4811-B3B9-EFF976462CE3}"/>
  <tableColumns count="3">
    <tableColumn id="1" xr3:uid="{502BE70A-64EC-4530-8DF1-C6B4D35C044B}" name="Segmento"/>
    <tableColumn id="2" xr3:uid="{413A2FFD-5960-4A47-9907-4545265DE053}" name="Tipo de Problemas"/>
    <tableColumn id="3" xr3:uid="{8C0239CF-81BA-4063-B990-64974621BEBA}" name="Estado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59F3E62-F8A2-4B51-925E-3CF2AD541210}" name="Table93" displayName="Table93" ref="A1:C5" totalsRowShown="0">
  <autoFilter ref="A1:C5" xr:uid="{C1CED9DF-6562-4E5B-B4AE-109DC223D531}"/>
  <sortState xmlns:xlrd2="http://schemas.microsoft.com/office/spreadsheetml/2017/richdata2" ref="A2:C5">
    <sortCondition ref="C1:C5"/>
  </sortState>
  <tableColumns count="3">
    <tableColumn id="1" xr3:uid="{04A09289-1C96-42FE-ABF2-DF392966BB30}" name="Segmento"/>
    <tableColumn id="2" xr3:uid="{35138AB0-EA5F-42C3-935D-D6781437BE86}" name="Tipo de Problemas"/>
    <tableColumn id="3" xr3:uid="{DBC7FF7F-D3F3-4C4A-8354-DFBE1F0465A7}" name="Estado"/>
  </tableColumns>
  <tableStyleInfo name="TableStyleMedium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BFFE495-EC7D-42AB-B672-535D3F6FCEE6}" name="Table94" displayName="Table94" ref="A1:A3" totalsRowShown="0">
  <autoFilter ref="A1:A3" xr:uid="{426F8B96-7858-4301-AB4D-D9C5C76581F1}"/>
  <tableColumns count="1">
    <tableColumn id="1" xr3:uid="{D7ACAC60-56C2-4040-90AD-B52D389D9D26}" name="Estado"/>
  </tableColumns>
  <tableStyleInfo name="TableStyleMedium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E2C069F8-5C63-4B48-855E-F38DF8D1D36C}" name="Table96" displayName="Table96" ref="A1:A3" totalsRowShown="0">
  <autoFilter ref="A1:A3" xr:uid="{A3E5E6BB-FD96-4935-99FC-545E8FE3D981}"/>
  <tableColumns count="1">
    <tableColumn id="1" xr3:uid="{E05DF289-2E85-4C6F-A6A4-F6D2A59B2568}" name="Parametro"/>
  </tableColumns>
  <tableStyleInfo name="TableStyleMedium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E6CD54CB-43D8-4595-88B3-42B31BFCDA06}" name="Table97" displayName="Table97" ref="E1:E6" totalsRowShown="0" headerRowDxfId="90" headerRowBorderDxfId="89" tableBorderDxfId="88">
  <autoFilter ref="E1:E6" xr:uid="{5DFD21A3-43E2-451D-98E1-9F35BC796070}"/>
  <tableColumns count="1">
    <tableColumn id="1" xr3:uid="{C165F093-2BA1-47A0-B94C-4C31BEBB9E48}" name="Tipo Problema"/>
  </tableColumns>
  <tableStyleInfo name="TableStyleMedium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5DD5C175-7F7F-42F4-A710-A7A91076DB8E}" name="Table98" displayName="Table98" ref="C1:C4" totalsRowShown="0" tableBorderDxfId="87">
  <autoFilter ref="C1:C4" xr:uid="{EF6C730B-805A-409A-BFC8-CEA4A9FA8786}"/>
  <tableColumns count="1">
    <tableColumn id="1" xr3:uid="{C97DED9F-0526-40D4-972D-D0907E9BF7BC}" name="Segmento"/>
  </tableColumns>
  <tableStyleInfo name="TableStyleMedium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5A21329D-F434-42EE-A0CF-CDB6A61E75BE}" name="Table99" displayName="Table99" ref="G1:G3" totalsRowShown="0" headerRowDxfId="86" headerRowBorderDxfId="85" tableBorderDxfId="84" totalsRowBorderDxfId="83">
  <autoFilter ref="G1:G3" xr:uid="{8907B7B3-7B9C-4625-A45D-D58B21607A28}"/>
  <tableColumns count="1">
    <tableColumn id="1" xr3:uid="{BB165C0B-493B-47C5-898E-B72256C9A0B3}" name="Tipo ProblemaHab"/>
  </tableColumns>
  <tableStyleInfo name="TableStyleMedium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16B6B20D-FD37-45EC-A822-1672371ED63D}" name="Table100" displayName="Table100" ref="I1:I2" totalsRowShown="0" headerRowDxfId="82" dataDxfId="80" headerRowBorderDxfId="81" tableBorderDxfId="79" totalsRowBorderDxfId="78">
  <autoFilter ref="I1:I2" xr:uid="{016C5903-41FD-44A5-8BC9-3E000A9317D6}"/>
  <tableColumns count="1">
    <tableColumn id="1" xr3:uid="{5FCA1EF7-B493-46AF-9E77-818FAA5F45AB}" name="SegmentoHab" dataDxfId="77"/>
  </tableColumns>
  <tableStyleInfo name="TableStyleMedium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23421BB8-F03D-4C9B-A979-38A9520EE44C}" name="Table101" displayName="Table101" ref="A1:C4" totalsRowShown="0">
  <autoFilter ref="A1:C4" xr:uid="{129CBC9C-AB4E-4F63-9670-42AF6105CF5E}"/>
  <tableColumns count="3">
    <tableColumn id="1" xr3:uid="{E95DCAB6-914E-4E0E-A574-AF5B68F7F8B5}" name="Segmento" dataDxfId="76"/>
    <tableColumn id="2" xr3:uid="{873B6F16-EA71-4A0C-8043-424875037C30}" name="Tipo Problema" dataDxfId="75"/>
    <tableColumn id="3" xr3:uid="{7C4CBD3D-18D5-498B-989A-77757756C9EE}" name="Problema"/>
  </tableColumns>
  <tableStyleInfo name="TableStyleMedium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7B526793-0DB8-4BCF-BF85-E97367088484}" name="Table102" displayName="Table102" ref="A1:C3" totalsRowShown="0" headerRowDxfId="74" headerRowBorderDxfId="73" tableBorderDxfId="72" totalsRowBorderDxfId="71">
  <autoFilter ref="A1:C3" xr:uid="{ACDCC245-BB8F-4842-98B4-CD88759209A5}"/>
  <tableColumns count="3">
    <tableColumn id="1" xr3:uid="{8B1BDF5A-8746-4D2B-91DB-C86F1332DAE2}" name="Segmento" dataDxfId="70"/>
    <tableColumn id="2" xr3:uid="{C7511053-5C63-43D4-B156-84828E00D039}" name="Tipo Problema" dataDxfId="69"/>
    <tableColumn id="3" xr3:uid="{7A56ADEF-13B7-4728-ACA8-CD1AB47BC739}" name="Problema"/>
  </tableColumns>
  <tableStyleInfo name="TableStyleMedium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95B5A00B-1030-431B-B667-5FDFC441812A}" name="Table97104" displayName="Table97104" ref="A1:A6" totalsRowShown="0" headerRowDxfId="68" headerRowBorderDxfId="67" tableBorderDxfId="66">
  <autoFilter ref="A1:A6" xr:uid="{EC410505-4298-42E7-91CF-A24BCD595EC4}"/>
  <tableColumns count="1">
    <tableColumn id="1" xr3:uid="{F944B5B0-30C1-4F66-8641-D8D45D96EB16}" name="Tipo Problema"/>
  </tableColumns>
  <tableStyleInfo name="TableStyleMedium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958951BA-0FD1-4404-9AB2-E52982EDDA68}" name="Table99105" displayName="Table99105" ref="A1:A4" totalsRowShown="0" headerRowDxfId="65" headerRowBorderDxfId="64" tableBorderDxfId="63" totalsRowBorderDxfId="62">
  <autoFilter ref="A1:A4" xr:uid="{65EC1B41-BE5E-4E40-8E82-4631F726C7A8}"/>
  <tableColumns count="1">
    <tableColumn id="1" xr3:uid="{FA0FFEAB-8962-4649-8AAD-D2E5AA742BF2}" name="Tipo ProblemaHab"/>
  </tableColumns>
  <tableStyleInfo name="TableStyleMedium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817F26D-45C9-4503-99CA-CA4E2EBBF819}" name="Table106" displayName="Table106" ref="A1:A3" totalsRowShown="0">
  <autoFilter ref="A1:A3" xr:uid="{D6FF8D5E-F44A-4456-BAE5-70BFBC520E77}"/>
  <tableColumns count="1">
    <tableColumn id="1" xr3:uid="{5FC58C0F-F656-41D8-8E17-0C174CFFFCD9}" name="Problema"/>
  </tableColumns>
  <tableStyleInfo name="TableStyleMedium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B5A797F-BBAA-43EC-8B1F-983DAC2B20BE}" name="Table107" displayName="Table107" ref="A1:A2" totalsRowShown="0">
  <autoFilter ref="A1:A2" xr:uid="{31777CC4-814A-4D25-9C3F-60FF623DBC79}"/>
  <tableColumns count="1">
    <tableColumn id="1" xr3:uid="{C30D5A49-ABAB-4521-A0EC-12266E93D3E4}" name="Problema"/>
  </tableColumns>
  <tableStyleInfo name="TableStyleMedium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2CF9BA90-AC4F-430B-82F9-12CACFC3FD67}" name="Table91" displayName="Table91" ref="A1:A3" totalsRowShown="0">
  <autoFilter ref="A1:A3" xr:uid="{A9BFA426-F06C-43D4-80AA-47BE3689ED5A}"/>
  <tableColumns count="1">
    <tableColumn id="1" xr3:uid="{FDDDBDDC-A82A-457C-B7ED-B241BA767BF8}" name="Idiomas"/>
  </tableColumns>
  <tableStyleInfo name="TableStyleMedium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60BAC71F-04A4-4C6D-B738-92D4F47E8362}" name="Table92" displayName="Table92" ref="A1:A2" totalsRowShown="0">
  <autoFilter ref="A1:A2" xr:uid="{6E95FFD5-69EA-4B33-802E-36C519192329}"/>
  <tableColumns count="1">
    <tableColumn id="1" xr3:uid="{089E4EDF-DFE6-48B4-B4D1-2F2165D472F9}" name="Idiomas"/>
  </tableColumns>
  <tableStyleInfo name="TableStyleMedium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EE99781-7C13-498F-8B6A-BCABC5094EC8}" name="Table81" displayName="Table81" ref="A1:A4" totalsRowShown="0">
  <autoFilter ref="A1:A4" xr:uid="{967026C3-3232-4C71-B41B-79D22D08E4B5}"/>
  <tableColumns count="1">
    <tableColumn id="1" xr3:uid="{58A70BE6-ACE0-47AB-B211-2D525C310FBA}" name="Ambito"/>
  </tableColumns>
  <tableStyleInfo name="TableStyleMedium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A9AFAD3E-CFAF-4850-82D4-DC53A7CCBC23}" name="Table82" displayName="Table82" ref="A1:A2" totalsRowShown="0">
  <autoFilter ref="A1:A2" xr:uid="{D2277F73-3203-4238-8DC7-E4867B55E4CF}"/>
  <tableColumns count="1">
    <tableColumn id="1" xr3:uid="{A3A8693D-1D27-48D8-B708-CBD159A3B01B}" name="Ambito"/>
  </tableColumns>
  <tableStyleInfo name="TableStyleMedium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2FBAA822-BE9E-4C89-B833-59C1C63F54CF}" name="Table83" displayName="Table83" ref="A1:A3" totalsRowShown="0">
  <autoFilter ref="A1:A3" xr:uid="{13F4A067-E00A-4D68-9AA5-3E958F67F286}"/>
  <tableColumns count="1">
    <tableColumn id="1" xr3:uid="{F8187988-50C4-4963-961B-F16FAFE957C8}" name="Sector"/>
  </tableColumns>
  <tableStyleInfo name="TableStyleMedium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F4B895C1-D986-40B2-BDE6-B774E1C09E7F}" name="Table84" displayName="Table84" ref="A1:A2" totalsRowShown="0">
  <autoFilter ref="A1:A2" xr:uid="{CB29265F-E91E-4177-95A2-2F7E6380807D}"/>
  <tableColumns count="1">
    <tableColumn id="1" xr3:uid="{D5AF739C-E270-4B59-89D5-28342C0C5DE1}" name="Sectores"/>
  </tableColumns>
  <tableStyleInfo name="TableStyleMedium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F0D36997-209A-407D-B1F0-608BDD87CCDE}" name="Table85" displayName="Table85" ref="A1:A6" totalsRowShown="0">
  <autoFilter ref="A1:A6" xr:uid="{C390706C-264F-4446-81DD-00689A5200F5}"/>
  <tableColumns count="1">
    <tableColumn id="1" xr3:uid="{AEBFF0F8-01FA-48D1-9254-7B02287E6EBD}" name="Local"/>
  </tableColumns>
  <tableStyleInfo name="TableStyleMedium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649FF0B2-CD91-406F-AD8F-DE10CC9EC17E}" name="Table86" displayName="Table86" ref="A1:A4" totalsRowShown="0">
  <autoFilter ref="A1:A4" xr:uid="{B07E99A1-CEFC-4099-B37E-47961FFCA2B4}"/>
  <tableColumns count="1">
    <tableColumn id="1" xr3:uid="{6509D473-55E5-4D2B-BE1F-2856591443DE}" name="Local"/>
  </tableColumns>
  <tableStyleInfo name="TableStyleMedium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0B3C68C-98D2-4B82-A9AF-32B2538C0C03}" name="Table70" displayName="Table70" ref="A1:A10" totalsRowShown="0">
  <autoFilter ref="A1:A10" xr:uid="{B0751EEE-2C35-4925-868E-1BF2189E66A2}"/>
  <tableColumns count="1">
    <tableColumn id="1" xr3:uid="{2A0C51B8-B8BC-4828-9C25-52B5E4B66573}" name="AreasExistentes"/>
  </tableColumns>
  <tableStyleInfo name="TableStyleMedium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6660E2E5-D7E2-42EA-9178-D2365ADEC128}" name="Table72" displayName="Table72" ref="A1:A7" totalsRowShown="0" headerRowDxfId="61" headerRowBorderDxfId="60" tableBorderDxfId="59" totalsRowBorderDxfId="58">
  <autoFilter ref="A1:A7" xr:uid="{EBF72B44-7674-4B16-A789-2716045B4EE6}"/>
  <tableColumns count="1">
    <tableColumn id="1" xr3:uid="{5A7F872E-202C-4CB4-87A8-107F8C55CF3A}" name="AreasHabilitadas"/>
  </tableColumns>
  <tableStyleInfo name="TableStyleMedium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631C5DE2-31F4-45CE-B5AF-C7E19BBA48E3}" name="Table87" displayName="Table87" ref="A1:G7" totalsRowShown="0" headerRowDxfId="57" dataDxfId="56" tableBorderDxfId="55">
  <autoFilter ref="A1:G7" xr:uid="{7D92C30B-FC76-47BC-B784-44F3769E4AB8}"/>
  <tableColumns count="7">
    <tableColumn id="1" xr3:uid="{CB4189EE-EBED-4622-93E2-94F720602D7F}" name="Tipo de Reclamo" dataDxfId="54"/>
    <tableColumn id="2" xr3:uid="{842E8C73-E89D-4D7F-B27A-0AC3DAE83423}" name="Inspeccion Problema" dataDxfId="53"/>
    <tableColumn id="3" xr3:uid="{E67F375B-5DC9-4760-8B5A-0913F6C14DA9}" name="Solucion del Problema" dataDxfId="52"/>
    <tableColumn id="4" xr3:uid="{76B7D072-44C6-4EF2-9071-E47DCF90732D}" name="Reasignacion de Area" dataDxfId="51"/>
    <tableColumn id="5" xr3:uid="{6376614E-5660-4C9B-AFFD-BE8F9F4A8FA0}" name="Entrega Producto" dataDxfId="50"/>
    <tableColumn id="6" xr3:uid="{9C2E150D-ED33-4E6F-BD89-DDE70D67DCAB}" name="Seguimiento Solucion" dataDxfId="49"/>
    <tableColumn id="7" xr3:uid="{6859868B-1EEB-4969-921E-8EB149AD6007}" name="Estado" dataDxfId="48"/>
  </tableColumns>
  <tableStyleInfo name="TableStyleMedium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EB5F348-5BFE-4C7D-A0E0-85C3C58EA308}" name="Table71" displayName="Table71" ref="A1:A7" totalsRowShown="0">
  <autoFilter ref="A1:A7" xr:uid="{E0602E90-115D-4980-95E1-0F71CDB4E69A}"/>
  <tableColumns count="1">
    <tableColumn id="1" xr3:uid="{F4019524-26B7-40EA-807C-8F96000CC98C}" name="CodEmpleados"/>
  </tableColumns>
  <tableStyleInfo name="TableStyleMedium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F1F9F1AE-E378-4538-A6A5-D68F40EBF3D1}" name="Table80" displayName="Table80" ref="A1:A4" totalsRowShown="0">
  <autoFilter ref="A1:A4" xr:uid="{C495F3F5-8236-49CF-B6CE-1BCD780507B7}"/>
  <tableColumns count="1">
    <tableColumn id="1" xr3:uid="{013E08CC-DD04-4FBE-857B-F9B4E1A1C61B}" name="CodEmpleadosHab"/>
  </tableColumns>
  <tableStyleInfo name="TableStyleMedium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6F04E09-96C8-422D-AA38-3D1C93AD2D86}" name="Table73" displayName="Table73" ref="C1:C4" totalsRowShown="0" headerRowDxfId="47" dataDxfId="46">
  <autoFilter ref="C1:C4" xr:uid="{A16F7706-6924-4C8F-9B00-A44DAE24709D}"/>
  <tableColumns count="1">
    <tableColumn id="1" xr3:uid="{812755FA-3882-4E36-A11A-C39E95D3D255}" name="Inspeccion Problema" dataDxfId="45"/>
  </tableColumns>
  <tableStyleInfo name="TableStyleMedium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AA97A50E-8BAA-4899-82E9-F645E7312484}" name="Table74" displayName="Table74" ref="E1:E3" totalsRowShown="0" headerRowDxfId="44" dataDxfId="43">
  <autoFilter ref="E1:E3" xr:uid="{71123DB2-A31D-4924-8A98-1FBA852E07F7}"/>
  <tableColumns count="1">
    <tableColumn id="1" xr3:uid="{48349F96-E01D-4C7B-B298-BD3A919AD07C}" name="Solucion del Problema" dataDxfId="42"/>
  </tableColumns>
  <tableStyleInfo name="TableStyleMedium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F68D6751-6989-4B58-8E3C-872848E81C45}" name="Table75" displayName="Table75" ref="G1:G3" totalsRowShown="0" headerRowDxfId="41" dataDxfId="40">
  <autoFilter ref="G1:G3" xr:uid="{17F067D6-DA83-48B6-8562-3C5868A4581D}"/>
  <tableColumns count="1">
    <tableColumn id="1" xr3:uid="{C22D6F1B-021A-4239-A293-10C997F16649}" name="Reasignacion de Area" dataDxfId="39"/>
  </tableColumns>
  <tableStyleInfo name="TableStyleMedium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D68BAA9E-BE4C-4805-B2E3-1D7166DCCC11}" name="Table76" displayName="Table76" ref="I1:I3" totalsRowShown="0" headerRowDxfId="38" dataDxfId="37">
  <autoFilter ref="I1:I3" xr:uid="{1C6CA1FB-CE6D-4134-9990-4BB7CF5C583F}"/>
  <tableColumns count="1">
    <tableColumn id="1" xr3:uid="{4B6B6842-9493-4A37-94DA-EB9B533BC118}" name="Entrega Producto" dataDxfId="36"/>
  </tableColumns>
  <tableStyleInfo name="TableStyleMedium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7CAD27E5-B2C6-4CEE-A067-F3D62344754A}" name="Table77" displayName="Table77" ref="K1:K3" totalsRowShown="0" headerRowDxfId="35" dataDxfId="34">
  <autoFilter ref="K1:K3" xr:uid="{4A30A09B-47A3-4E20-9EB5-66D147F7A655}"/>
  <tableColumns count="1">
    <tableColumn id="1" xr3:uid="{54E094FF-9204-417D-A368-AFA7B6D863A5}" name="Seguimiento Solucion" dataDxfId="33"/>
  </tableColumns>
  <tableStyleInfo name="TableStyleMedium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82C8EA9B-0D3B-4D39-AFBD-7CDD8BDAE0FC}" name="Table78" displayName="Table78" ref="M1:M3" totalsRowShown="0" headerRowDxfId="32" dataDxfId="31">
  <autoFilter ref="M1:M3" xr:uid="{BABE8870-2877-4FE5-B50F-495F9EE1BD9D}"/>
  <tableColumns count="1">
    <tableColumn id="1" xr3:uid="{063F279A-6B41-49BF-BCCF-90E4F673DF2E}" name="Estado" dataDxfId="30"/>
  </tableColumns>
  <tableStyleInfo name="TableStyleMedium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2E5664FF-AB5C-43CF-B32D-ED869F9C2F79}" name="Table79" displayName="Table79" ref="A1:A4" totalsRowShown="0" headerRowDxfId="29" dataDxfId="28">
  <autoFilter ref="A1:A4" xr:uid="{D78C043E-7972-48A7-A9F2-2F702334714B}"/>
  <tableColumns count="1">
    <tableColumn id="1" xr3:uid="{6160585D-8DB9-46F9-8A54-D3976F944868}" name="Tipo de Reclamo" dataDxfId="27"/>
  </tableColumns>
  <tableStyleInfo name="TableStyleMedium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C313DA38-E97E-41A6-B7E3-42128701E17C}" name="Table88" displayName="Table88" ref="A1:G5" totalsRowShown="0" headerRowDxfId="26" dataDxfId="25">
  <autoFilter ref="A1:G5" xr:uid="{73BC1C4C-6BE6-4CEB-A9E3-5752210BFA88}"/>
  <tableColumns count="7">
    <tableColumn id="1" xr3:uid="{044FA54E-E3E3-4978-9AB4-5EA74FF4E4DC}" name="Condicion" dataDxfId="24"/>
    <tableColumn id="2" xr3:uid="{39CC6095-B7C7-485F-8107-048EFE4D0AFA}" name="Parametro" dataDxfId="23"/>
    <tableColumn id="3" xr3:uid="{6EB3617B-E452-4E3A-8278-F00B4897DF4D}" name="Operador" dataDxfId="22"/>
    <tableColumn id="4" xr3:uid="{4F0691FD-7853-4F35-B8C5-AA1AC385D9A1}" name="Variable" dataDxfId="21"/>
    <tableColumn id="5" xr3:uid="{62A1DF6C-A790-4486-B94C-9C82E6583E12}" name="AccionV" dataDxfId="20"/>
    <tableColumn id="6" xr3:uid="{74C51EE6-3841-4672-8647-880AF8D06865}" name="AccionF" dataDxfId="19"/>
    <tableColumn id="7" xr3:uid="{7DCAD237-8EC2-46F5-AAA5-F8C6D3750044}" name="Descripcion" dataDxfId="18"/>
  </tableColumns>
  <tableStyleInfo name="TableStyleMedium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74C806AB-26CD-41A3-BC4D-CD9AB238D478}" name="Table89" displayName="Table89" ref="A1:E6" totalsRowShown="0" headerRowDxfId="17" headerRowBorderDxfId="16" tableBorderDxfId="15" totalsRowBorderDxfId="14">
  <autoFilter ref="A1:E6" xr:uid="{38A6B24C-51F5-4074-AF82-072D645DC569}"/>
  <tableColumns count="5">
    <tableColumn id="1" xr3:uid="{046091B7-73DA-4C30-B4FA-A831397854E9}" name="IdReclamo" dataDxfId="13"/>
    <tableColumn id="2" xr3:uid="{CC980DEA-063D-4340-995A-89578E8EFB39}" name="Fecha de emision" dataDxfId="12"/>
    <tableColumn id="3" xr3:uid="{4A557F8F-18D9-4CAA-884D-8EAE28D26DF6}" name="Fecha de Atencion " dataDxfId="11"/>
    <tableColumn id="4" xr3:uid="{9FD8F6B7-F0FB-4AB0-A2BF-E8C43E8FFE03}" name="Hora de Atencion" dataDxfId="10"/>
    <tableColumn id="5" xr3:uid="{514EF1D6-A342-42DC-BCEB-8037F870E2BF}" name="Estado" dataDxfId="9"/>
  </tableColumns>
  <tableStyleInfo name="TableStyleMedium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D8858388-2E4B-41AD-BED2-DC3FCD8432BF}" name="Table8991" displayName="Table8991" ref="A1:E6" totalsRowShown="0" headerRowDxfId="8" headerRowBorderDxfId="7" tableBorderDxfId="6" totalsRowBorderDxfId="5">
  <autoFilter ref="A1:E6" xr:uid="{BC6DEC4A-2995-4A69-A020-108EF7C1F49E}"/>
  <tableColumns count="5">
    <tableColumn id="1" xr3:uid="{F9834813-FE43-4774-B4B1-0DFC75D76B77}" name="IdReclamo" dataDxfId="4"/>
    <tableColumn id="2" xr3:uid="{35EA730C-145D-44C6-AAA8-0E2943772E8D}" name="Fecha de emision" dataDxfId="3"/>
    <tableColumn id="3" xr3:uid="{0AACA530-EDF9-47DF-B93F-705DBBFC6C0A}" name="Fecha de Atencion " dataDxfId="2"/>
    <tableColumn id="4" xr3:uid="{56DE0E5B-A7C2-46C5-8FBE-299B6FF039E1}" name="Hora de Atencion" dataDxfId="1"/>
    <tableColumn id="5" xr3:uid="{CC7D1E78-EB09-4D96-A371-E218E129E9F4}" name="Est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32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28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Relationship Id="rId30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7.xml"/><Relationship Id="rId18" Type="http://schemas.openxmlformats.org/officeDocument/2006/relationships/table" Target="../tables/table32.xml"/><Relationship Id="rId26" Type="http://schemas.openxmlformats.org/officeDocument/2006/relationships/table" Target="../tables/table40.xml"/><Relationship Id="rId39" Type="http://schemas.openxmlformats.org/officeDocument/2006/relationships/table" Target="../tables/table53.xml"/><Relationship Id="rId21" Type="http://schemas.openxmlformats.org/officeDocument/2006/relationships/table" Target="../tables/table35.xml"/><Relationship Id="rId34" Type="http://schemas.openxmlformats.org/officeDocument/2006/relationships/table" Target="../tables/table48.xml"/><Relationship Id="rId42" Type="http://schemas.openxmlformats.org/officeDocument/2006/relationships/table" Target="../tables/table56.xml"/><Relationship Id="rId47" Type="http://schemas.openxmlformats.org/officeDocument/2006/relationships/table" Target="../tables/table61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6" Type="http://schemas.openxmlformats.org/officeDocument/2006/relationships/table" Target="../tables/table30.xml"/><Relationship Id="rId29" Type="http://schemas.openxmlformats.org/officeDocument/2006/relationships/table" Target="../tables/table43.xml"/><Relationship Id="rId11" Type="http://schemas.openxmlformats.org/officeDocument/2006/relationships/table" Target="../tables/table25.xml"/><Relationship Id="rId24" Type="http://schemas.openxmlformats.org/officeDocument/2006/relationships/table" Target="../tables/table38.xml"/><Relationship Id="rId32" Type="http://schemas.openxmlformats.org/officeDocument/2006/relationships/table" Target="../tables/table46.xml"/><Relationship Id="rId37" Type="http://schemas.openxmlformats.org/officeDocument/2006/relationships/table" Target="../tables/table51.xml"/><Relationship Id="rId40" Type="http://schemas.openxmlformats.org/officeDocument/2006/relationships/table" Target="../tables/table54.xml"/><Relationship Id="rId45" Type="http://schemas.openxmlformats.org/officeDocument/2006/relationships/table" Target="../tables/table59.xml"/><Relationship Id="rId5" Type="http://schemas.openxmlformats.org/officeDocument/2006/relationships/table" Target="../tables/table19.xml"/><Relationship Id="rId15" Type="http://schemas.openxmlformats.org/officeDocument/2006/relationships/table" Target="../tables/table29.xml"/><Relationship Id="rId23" Type="http://schemas.openxmlformats.org/officeDocument/2006/relationships/table" Target="../tables/table37.xml"/><Relationship Id="rId28" Type="http://schemas.openxmlformats.org/officeDocument/2006/relationships/table" Target="../tables/table42.xml"/><Relationship Id="rId36" Type="http://schemas.openxmlformats.org/officeDocument/2006/relationships/table" Target="../tables/table50.xml"/><Relationship Id="rId49" Type="http://schemas.openxmlformats.org/officeDocument/2006/relationships/table" Target="../tables/table63.xml"/><Relationship Id="rId10" Type="http://schemas.openxmlformats.org/officeDocument/2006/relationships/table" Target="../tables/table24.xml"/><Relationship Id="rId19" Type="http://schemas.openxmlformats.org/officeDocument/2006/relationships/table" Target="../tables/table33.xml"/><Relationship Id="rId31" Type="http://schemas.openxmlformats.org/officeDocument/2006/relationships/table" Target="../tables/table45.xml"/><Relationship Id="rId44" Type="http://schemas.openxmlformats.org/officeDocument/2006/relationships/table" Target="../tables/table58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Relationship Id="rId22" Type="http://schemas.openxmlformats.org/officeDocument/2006/relationships/table" Target="../tables/table36.xml"/><Relationship Id="rId27" Type="http://schemas.openxmlformats.org/officeDocument/2006/relationships/table" Target="../tables/table41.xml"/><Relationship Id="rId30" Type="http://schemas.openxmlformats.org/officeDocument/2006/relationships/table" Target="../tables/table44.xml"/><Relationship Id="rId35" Type="http://schemas.openxmlformats.org/officeDocument/2006/relationships/table" Target="../tables/table49.xml"/><Relationship Id="rId43" Type="http://schemas.openxmlformats.org/officeDocument/2006/relationships/table" Target="../tables/table57.xml"/><Relationship Id="rId48" Type="http://schemas.openxmlformats.org/officeDocument/2006/relationships/table" Target="../tables/table62.xml"/><Relationship Id="rId8" Type="http://schemas.openxmlformats.org/officeDocument/2006/relationships/table" Target="../tables/table22.xml"/><Relationship Id="rId3" Type="http://schemas.openxmlformats.org/officeDocument/2006/relationships/table" Target="../tables/table17.xml"/><Relationship Id="rId12" Type="http://schemas.openxmlformats.org/officeDocument/2006/relationships/table" Target="../tables/table26.xml"/><Relationship Id="rId17" Type="http://schemas.openxmlformats.org/officeDocument/2006/relationships/table" Target="../tables/table31.xml"/><Relationship Id="rId25" Type="http://schemas.openxmlformats.org/officeDocument/2006/relationships/table" Target="../tables/table39.xml"/><Relationship Id="rId33" Type="http://schemas.openxmlformats.org/officeDocument/2006/relationships/table" Target="../tables/table47.xml"/><Relationship Id="rId38" Type="http://schemas.openxmlformats.org/officeDocument/2006/relationships/table" Target="../tables/table52.xml"/><Relationship Id="rId46" Type="http://schemas.openxmlformats.org/officeDocument/2006/relationships/table" Target="../tables/table60.xml"/><Relationship Id="rId20" Type="http://schemas.openxmlformats.org/officeDocument/2006/relationships/table" Target="../tables/table34.xml"/><Relationship Id="rId41" Type="http://schemas.openxmlformats.org/officeDocument/2006/relationships/table" Target="../tables/table5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8.xml"/><Relationship Id="rId13" Type="http://schemas.openxmlformats.org/officeDocument/2006/relationships/table" Target="../tables/table83.xml"/><Relationship Id="rId18" Type="http://schemas.openxmlformats.org/officeDocument/2006/relationships/table" Target="../tables/table88.xml"/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12" Type="http://schemas.openxmlformats.org/officeDocument/2006/relationships/table" Target="../tables/table82.xml"/><Relationship Id="rId17" Type="http://schemas.openxmlformats.org/officeDocument/2006/relationships/table" Target="../tables/table87.xml"/><Relationship Id="rId2" Type="http://schemas.openxmlformats.org/officeDocument/2006/relationships/table" Target="../tables/table72.xml"/><Relationship Id="rId16" Type="http://schemas.openxmlformats.org/officeDocument/2006/relationships/table" Target="../tables/table8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6.xml"/><Relationship Id="rId11" Type="http://schemas.openxmlformats.org/officeDocument/2006/relationships/table" Target="../tables/table81.xml"/><Relationship Id="rId5" Type="http://schemas.openxmlformats.org/officeDocument/2006/relationships/table" Target="../tables/table75.xml"/><Relationship Id="rId15" Type="http://schemas.openxmlformats.org/officeDocument/2006/relationships/table" Target="../tables/table85.xml"/><Relationship Id="rId10" Type="http://schemas.openxmlformats.org/officeDocument/2006/relationships/table" Target="../tables/table80.xml"/><Relationship Id="rId19" Type="http://schemas.openxmlformats.org/officeDocument/2006/relationships/table" Target="../tables/table89.xml"/><Relationship Id="rId4" Type="http://schemas.openxmlformats.org/officeDocument/2006/relationships/table" Target="../tables/table74.xml"/><Relationship Id="rId9" Type="http://schemas.openxmlformats.org/officeDocument/2006/relationships/table" Target="../tables/table79.xml"/><Relationship Id="rId14" Type="http://schemas.openxmlformats.org/officeDocument/2006/relationships/table" Target="../tables/table8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9.xml"/><Relationship Id="rId2" Type="http://schemas.openxmlformats.org/officeDocument/2006/relationships/table" Target="../tables/table98.xml"/><Relationship Id="rId1" Type="http://schemas.openxmlformats.org/officeDocument/2006/relationships/table" Target="../tables/table97.xml"/><Relationship Id="rId5" Type="http://schemas.openxmlformats.org/officeDocument/2006/relationships/table" Target="../tables/table101.xml"/><Relationship Id="rId4" Type="http://schemas.openxmlformats.org/officeDocument/2006/relationships/table" Target="../tables/table10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0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1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4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5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6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7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8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3.xml"/><Relationship Id="rId7" Type="http://schemas.openxmlformats.org/officeDocument/2006/relationships/table" Target="../tables/table127.xml"/><Relationship Id="rId2" Type="http://schemas.openxmlformats.org/officeDocument/2006/relationships/table" Target="../tables/table122.xml"/><Relationship Id="rId1" Type="http://schemas.openxmlformats.org/officeDocument/2006/relationships/table" Target="../tables/table121.xml"/><Relationship Id="rId6" Type="http://schemas.openxmlformats.org/officeDocument/2006/relationships/table" Target="../tables/table126.xml"/><Relationship Id="rId5" Type="http://schemas.openxmlformats.org/officeDocument/2006/relationships/table" Target="../tables/table125.xml"/><Relationship Id="rId4" Type="http://schemas.openxmlformats.org/officeDocument/2006/relationships/table" Target="../tables/table12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8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C2:I18"/>
  <sheetViews>
    <sheetView workbookViewId="0">
      <selection activeCell="E9" sqref="E9"/>
    </sheetView>
  </sheetViews>
  <sheetFormatPr baseColWidth="10" defaultColWidth="11.44140625" defaultRowHeight="14.4" x14ac:dyDescent="0.3"/>
  <sheetData>
    <row r="2" spans="3:9" x14ac:dyDescent="0.3">
      <c r="C2" s="63" t="s">
        <v>28</v>
      </c>
      <c r="D2" s="64"/>
      <c r="E2" s="64"/>
      <c r="F2" s="64"/>
      <c r="G2" s="64"/>
      <c r="H2" s="64"/>
      <c r="I2" s="65"/>
    </row>
    <row r="3" spans="3:9" x14ac:dyDescent="0.3">
      <c r="C3" s="66"/>
      <c r="D3" s="67"/>
      <c r="E3" s="67"/>
      <c r="F3" s="67"/>
      <c r="G3" s="67"/>
      <c r="H3" s="67"/>
      <c r="I3" s="68"/>
    </row>
    <row r="4" spans="3:9" x14ac:dyDescent="0.3">
      <c r="C4" s="69" t="s">
        <v>287</v>
      </c>
      <c r="D4" s="70"/>
      <c r="E4" s="70"/>
      <c r="F4" s="70"/>
      <c r="G4" s="70"/>
      <c r="H4" s="70"/>
      <c r="I4" s="71"/>
    </row>
    <row r="5" spans="3:9" x14ac:dyDescent="0.3">
      <c r="C5" s="24"/>
      <c r="D5" s="24" t="s">
        <v>286</v>
      </c>
      <c r="E5" s="24"/>
      <c r="F5" s="24"/>
      <c r="G5" s="24"/>
      <c r="H5" s="24"/>
      <c r="I5" s="24"/>
    </row>
    <row r="6" spans="3:9" x14ac:dyDescent="0.3">
      <c r="C6" s="24"/>
      <c r="D6" s="24"/>
      <c r="E6" s="24"/>
      <c r="F6" s="24"/>
      <c r="G6" s="24"/>
      <c r="H6" s="24"/>
      <c r="I6" s="24"/>
    </row>
    <row r="7" spans="3:9" x14ac:dyDescent="0.3">
      <c r="C7" s="24"/>
      <c r="D7" s="24"/>
      <c r="E7" s="24"/>
      <c r="F7" s="24"/>
      <c r="G7" s="24"/>
      <c r="H7" s="24"/>
      <c r="I7" s="24"/>
    </row>
    <row r="8" spans="3:9" x14ac:dyDescent="0.3">
      <c r="C8" s="24"/>
      <c r="D8" s="24"/>
      <c r="E8" s="24"/>
      <c r="F8" s="24"/>
      <c r="G8" s="24"/>
      <c r="H8" s="24"/>
      <c r="I8" s="24"/>
    </row>
    <row r="9" spans="3:9" x14ac:dyDescent="0.3">
      <c r="C9" s="24"/>
      <c r="D9" s="24"/>
      <c r="E9" s="24"/>
      <c r="F9" s="24"/>
      <c r="G9" s="24"/>
      <c r="H9" s="24"/>
      <c r="I9" s="24"/>
    </row>
    <row r="10" spans="3:9" x14ac:dyDescent="0.3">
      <c r="C10" s="24"/>
      <c r="D10" s="24"/>
      <c r="E10" s="24"/>
      <c r="F10" s="24"/>
      <c r="G10" s="24"/>
      <c r="H10" s="24"/>
      <c r="I10" s="24"/>
    </row>
    <row r="11" spans="3:9" x14ac:dyDescent="0.3">
      <c r="C11" s="24"/>
      <c r="D11" s="24"/>
      <c r="E11" s="24"/>
      <c r="F11" s="24"/>
      <c r="G11" s="24"/>
      <c r="H11" s="24"/>
      <c r="I11" s="24"/>
    </row>
    <row r="12" spans="3:9" x14ac:dyDescent="0.3">
      <c r="C12" s="24"/>
      <c r="D12" s="24"/>
      <c r="E12" s="24"/>
      <c r="F12" s="24"/>
      <c r="G12" s="24"/>
      <c r="H12" s="24"/>
      <c r="I12" s="24"/>
    </row>
    <row r="13" spans="3:9" x14ac:dyDescent="0.3">
      <c r="C13" s="24"/>
      <c r="D13" s="24"/>
      <c r="E13" s="24"/>
      <c r="F13" s="24"/>
      <c r="G13" s="24"/>
      <c r="H13" s="24"/>
      <c r="I13" s="24"/>
    </row>
    <row r="14" spans="3:9" x14ac:dyDescent="0.3">
      <c r="C14" s="24"/>
      <c r="D14" s="24"/>
      <c r="E14" s="24"/>
      <c r="F14" s="24"/>
      <c r="G14" s="24"/>
      <c r="H14" s="24"/>
      <c r="I14" s="24"/>
    </row>
    <row r="15" spans="3:9" x14ac:dyDescent="0.3">
      <c r="C15" s="24"/>
      <c r="D15" s="24"/>
      <c r="E15" s="24"/>
      <c r="F15" s="24"/>
      <c r="G15" s="24"/>
      <c r="H15" s="24"/>
      <c r="I15" s="24"/>
    </row>
    <row r="16" spans="3:9" x14ac:dyDescent="0.3">
      <c r="C16" s="24"/>
      <c r="D16" s="24"/>
      <c r="E16" s="24"/>
      <c r="F16" s="24"/>
      <c r="G16" s="24"/>
      <c r="H16" s="24"/>
      <c r="I16" s="24"/>
    </row>
    <row r="17" spans="3:9" x14ac:dyDescent="0.3">
      <c r="C17" s="24"/>
      <c r="D17" s="24"/>
      <c r="E17" s="24"/>
      <c r="F17" s="24"/>
      <c r="G17" s="24"/>
      <c r="H17" s="24"/>
      <c r="I17" s="24"/>
    </row>
    <row r="18" spans="3:9" x14ac:dyDescent="0.3">
      <c r="C18" s="24"/>
      <c r="D18" s="24"/>
      <c r="E18" s="24"/>
      <c r="F18" s="24"/>
      <c r="G18" s="24"/>
      <c r="H18" s="24"/>
      <c r="I18" s="24"/>
    </row>
  </sheetData>
  <mergeCells count="2">
    <mergeCell ref="C2:I3"/>
    <mergeCell ref="C4:I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C3:Y34"/>
  <sheetViews>
    <sheetView tabSelected="1" topLeftCell="A18" zoomScale="55" zoomScaleNormal="55" workbookViewId="0">
      <selection activeCell="AK23" sqref="AK23"/>
    </sheetView>
  </sheetViews>
  <sheetFormatPr baseColWidth="10" defaultColWidth="9.109375" defaultRowHeight="14.4" x14ac:dyDescent="0.3"/>
  <sheetData>
    <row r="3" spans="3:25" x14ac:dyDescent="0.3">
      <c r="C3" s="6" t="s">
        <v>29</v>
      </c>
      <c r="D3" s="6"/>
      <c r="E3" s="6"/>
      <c r="F3" s="6"/>
      <c r="G3" s="6"/>
    </row>
    <row r="8" spans="3:25" x14ac:dyDescent="0.3">
      <c r="W8" s="1"/>
    </row>
    <row r="12" spans="3:25" x14ac:dyDescent="0.3">
      <c r="Y12" s="1"/>
    </row>
    <row r="18" spans="17:25" x14ac:dyDescent="0.3">
      <c r="Y18" s="1"/>
    </row>
    <row r="30" spans="17:25" x14ac:dyDescent="0.3">
      <c r="Q30" s="1"/>
    </row>
    <row r="34" spans="17:17" x14ac:dyDescent="0.3">
      <c r="Q34" t="s">
        <v>536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ParametroGeneral">
          <controlPr defaultSize="0" autoLine="0" r:id="rId5">
            <anchor moveWithCells="1">
              <from>
                <xdr:col>4</xdr:col>
                <xdr:colOff>381000</xdr:colOff>
                <xdr:row>30</xdr:row>
                <xdr:rowOff>182880</xdr:rowOff>
              </from>
              <to>
                <xdr:col>7</xdr:col>
                <xdr:colOff>7620</xdr:colOff>
                <xdr:row>33</xdr:row>
                <xdr:rowOff>99060</xdr:rowOff>
              </to>
            </anchor>
          </controlPr>
        </control>
      </mc:Choice>
      <mc:Fallback>
        <control shapeId="1046" r:id="rId4" name="ParametroGeneral"/>
      </mc:Fallback>
    </mc:AlternateContent>
    <mc:AlternateContent xmlns:mc="http://schemas.openxmlformats.org/markup-compatibility/2006">
      <mc:Choice Requires="x14">
        <control shapeId="1047" r:id="rId6" name="CatalogoProductos">
          <controlPr defaultSize="0" autoLine="0" autoPict="0" r:id="rId7">
            <anchor moveWithCells="1">
              <from>
                <xdr:col>4</xdr:col>
                <xdr:colOff>365760</xdr:colOff>
                <xdr:row>33</xdr:row>
                <xdr:rowOff>160020</xdr:rowOff>
              </from>
              <to>
                <xdr:col>7</xdr:col>
                <xdr:colOff>7620</xdr:colOff>
                <xdr:row>36</xdr:row>
                <xdr:rowOff>76200</xdr:rowOff>
              </to>
            </anchor>
          </controlPr>
        </control>
      </mc:Choice>
      <mc:Fallback>
        <control shapeId="1047" r:id="rId6" name="CatalogoProductos"/>
      </mc:Fallback>
    </mc:AlternateContent>
    <mc:AlternateContent xmlns:mc="http://schemas.openxmlformats.org/markup-compatibility/2006">
      <mc:Choice Requires="x14">
        <control shapeId="1048" r:id="rId8" name="CatalogoBienes">
          <controlPr defaultSize="0" autoLine="0" autoPict="0" r:id="rId9">
            <anchor moveWithCells="1">
              <from>
                <xdr:col>4</xdr:col>
                <xdr:colOff>381000</xdr:colOff>
                <xdr:row>36</xdr:row>
                <xdr:rowOff>121920</xdr:rowOff>
              </from>
              <to>
                <xdr:col>7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048" r:id="rId8" name="CatalogoBienes"/>
      </mc:Fallback>
    </mc:AlternateContent>
    <mc:AlternateContent xmlns:mc="http://schemas.openxmlformats.org/markup-compatibility/2006">
      <mc:Choice Requires="x14">
        <control shapeId="1049" r:id="rId10" name="CatalogoProblemas">
          <controlPr defaultSize="0" autoLine="0" autoPict="0" r:id="rId11">
            <anchor moveWithCells="1">
              <from>
                <xdr:col>4</xdr:col>
                <xdr:colOff>381000</xdr:colOff>
                <xdr:row>39</xdr:row>
                <xdr:rowOff>83820</xdr:rowOff>
              </from>
              <to>
                <xdr:col>7</xdr:col>
                <xdr:colOff>60960</xdr:colOff>
                <xdr:row>41</xdr:row>
                <xdr:rowOff>190500</xdr:rowOff>
              </to>
            </anchor>
          </controlPr>
        </control>
      </mc:Choice>
      <mc:Fallback>
        <control shapeId="1049" r:id="rId10" name="CatalogoProblemas"/>
      </mc:Fallback>
    </mc:AlternateContent>
    <mc:AlternateContent xmlns:mc="http://schemas.openxmlformats.org/markup-compatibility/2006">
      <mc:Choice Requires="x14">
        <control shapeId="1050" r:id="rId12" name="CatalogoClientes">
          <controlPr defaultSize="0" autoLine="0" autoPict="0" r:id="rId13">
            <anchor moveWithCells="1">
              <from>
                <xdr:col>4</xdr:col>
                <xdr:colOff>381000</xdr:colOff>
                <xdr:row>42</xdr:row>
                <xdr:rowOff>83820</xdr:rowOff>
              </from>
              <to>
                <xdr:col>7</xdr:col>
                <xdr:colOff>68580</xdr:colOff>
                <xdr:row>44</xdr:row>
                <xdr:rowOff>190500</xdr:rowOff>
              </to>
            </anchor>
          </controlPr>
        </control>
      </mc:Choice>
      <mc:Fallback>
        <control shapeId="1050" r:id="rId12" name="CatalogoClientes"/>
      </mc:Fallback>
    </mc:AlternateContent>
    <mc:AlternateContent xmlns:mc="http://schemas.openxmlformats.org/markup-compatibility/2006">
      <mc:Choice Requires="x14">
        <control shapeId="1051" r:id="rId14" name="CatalogoProtocolos">
          <controlPr defaultSize="0" autoLine="0" autoPict="0" r:id="rId15">
            <anchor moveWithCells="1">
              <from>
                <xdr:col>4</xdr:col>
                <xdr:colOff>403860</xdr:colOff>
                <xdr:row>45</xdr:row>
                <xdr:rowOff>45720</xdr:rowOff>
              </from>
              <to>
                <xdr:col>7</xdr:col>
                <xdr:colOff>60960</xdr:colOff>
                <xdr:row>47</xdr:row>
                <xdr:rowOff>152400</xdr:rowOff>
              </to>
            </anchor>
          </controlPr>
        </control>
      </mc:Choice>
      <mc:Fallback>
        <control shapeId="1051" r:id="rId14" name="CatalogoProtocolos"/>
      </mc:Fallback>
    </mc:AlternateContent>
    <mc:AlternateContent xmlns:mc="http://schemas.openxmlformats.org/markup-compatibility/2006">
      <mc:Choice Requires="x14">
        <control shapeId="1052" r:id="rId16" name="CatalogoReglas">
          <controlPr defaultSize="0" autoLine="0" r:id="rId17">
            <anchor moveWithCells="1">
              <from>
                <xdr:col>4</xdr:col>
                <xdr:colOff>373380</xdr:colOff>
                <xdr:row>48</xdr:row>
                <xdr:rowOff>30480</xdr:rowOff>
              </from>
              <to>
                <xdr:col>6</xdr:col>
                <xdr:colOff>518160</xdr:colOff>
                <xdr:row>50</xdr:row>
                <xdr:rowOff>137160</xdr:rowOff>
              </to>
            </anchor>
          </controlPr>
        </control>
      </mc:Choice>
      <mc:Fallback>
        <control shapeId="1052" r:id="rId16" name="CatalogoReglas"/>
      </mc:Fallback>
    </mc:AlternateContent>
    <mc:AlternateContent xmlns:mc="http://schemas.openxmlformats.org/markup-compatibility/2006">
      <mc:Choice Requires="x14">
        <control shapeId="1053" r:id="rId18" name="CatalogoPoliticas">
          <controlPr defaultSize="0" autoLine="0" r:id="rId19">
            <anchor moveWithCells="1">
              <from>
                <xdr:col>4</xdr:col>
                <xdr:colOff>381000</xdr:colOff>
                <xdr:row>51</xdr:row>
                <xdr:rowOff>0</xdr:rowOff>
              </from>
              <to>
                <xdr:col>6</xdr:col>
                <xdr:colOff>525780</xdr:colOff>
                <xdr:row>53</xdr:row>
                <xdr:rowOff>106680</xdr:rowOff>
              </to>
            </anchor>
          </controlPr>
        </control>
      </mc:Choice>
      <mc:Fallback>
        <control shapeId="1053" r:id="rId18" name="CatalogoPoliticas"/>
      </mc:Fallback>
    </mc:AlternateContent>
    <mc:AlternateContent xmlns:mc="http://schemas.openxmlformats.org/markup-compatibility/2006">
      <mc:Choice Requires="x14">
        <control shapeId="1054" r:id="rId20" name="ConsultaIndicadores">
          <controlPr defaultSize="0" autoLine="0" r:id="rId21">
            <anchor moveWithCells="1">
              <from>
                <xdr:col>4</xdr:col>
                <xdr:colOff>480060</xdr:colOff>
                <xdr:row>58</xdr:row>
                <xdr:rowOff>137160</xdr:rowOff>
              </from>
              <to>
                <xdr:col>7</xdr:col>
                <xdr:colOff>7620</xdr:colOff>
                <xdr:row>61</xdr:row>
                <xdr:rowOff>45720</xdr:rowOff>
              </to>
            </anchor>
          </controlPr>
        </control>
      </mc:Choice>
      <mc:Fallback>
        <control shapeId="1054" r:id="rId20" name="ConsultaIndicadores"/>
      </mc:Fallback>
    </mc:AlternateContent>
    <mc:AlternateContent xmlns:mc="http://schemas.openxmlformats.org/markup-compatibility/2006">
      <mc:Choice Requires="x14">
        <control shapeId="1026" r:id="rId22" name="btnSEG">
          <controlPr defaultSize="0" autoFill="0" autoPict="0" macro="[0]!ModuloSeguridad">
            <anchor moveWithCells="1" sizeWithCells="1">
              <from>
                <xdr:col>11</xdr:col>
                <xdr:colOff>350520</xdr:colOff>
                <xdr:row>8</xdr:row>
                <xdr:rowOff>114300</xdr:rowOff>
              </from>
              <to>
                <xdr:col>13</xdr:col>
                <xdr:colOff>571500</xdr:colOff>
                <xdr:row>11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3" name="Button 9">
          <controlPr defaultSize="0" autoFill="0" autoPict="0" macro="[0]!ACT_BD">
            <anchor moveWithCells="1" sizeWithCells="1">
              <from>
                <xdr:col>16</xdr:col>
                <xdr:colOff>594360</xdr:colOff>
                <xdr:row>27</xdr:row>
                <xdr:rowOff>129540</xdr:rowOff>
              </from>
              <to>
                <xdr:col>19</xdr:col>
                <xdr:colOff>586740</xdr:colOff>
                <xdr:row>30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4" name="Button 10">
          <controlPr defaultSize="0" autoFill="0" autoPict="0">
            <anchor moveWithCells="1" sizeWithCells="1">
              <from>
                <xdr:col>22</xdr:col>
                <xdr:colOff>144780</xdr:colOff>
                <xdr:row>27</xdr:row>
                <xdr:rowOff>160020</xdr:rowOff>
              </from>
              <to>
                <xdr:col>25</xdr:col>
                <xdr:colOff>137160</xdr:colOff>
                <xdr:row>30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5" name="Button 11">
          <controlPr defaultSize="0" autoFill="0" autoPict="0">
            <anchor moveWithCells="1" sizeWithCells="1">
              <from>
                <xdr:col>17</xdr:col>
                <xdr:colOff>38100</xdr:colOff>
                <xdr:row>33</xdr:row>
                <xdr:rowOff>175260</xdr:rowOff>
              </from>
              <to>
                <xdr:col>20</xdr:col>
                <xdr:colOff>53340</xdr:colOff>
                <xdr:row>36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6" name="Button 12">
          <controlPr defaultSize="0" autoFill="0" autoPict="0">
            <anchor moveWithCells="1" sizeWithCells="1">
              <from>
                <xdr:col>22</xdr:col>
                <xdr:colOff>53340</xdr:colOff>
                <xdr:row>35</xdr:row>
                <xdr:rowOff>83820</xdr:rowOff>
              </from>
              <to>
                <xdr:col>25</xdr:col>
                <xdr:colOff>60960</xdr:colOff>
                <xdr:row>38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27" name="Button 13">
          <controlPr defaultSize="0" autoFill="0" autoPict="0" macro="[0]!ModMantParamtGral">
            <anchor moveWithCells="1" sizeWithCells="1">
              <from>
                <xdr:col>3</xdr:col>
                <xdr:colOff>335280</xdr:colOff>
                <xdr:row>27</xdr:row>
                <xdr:rowOff>7620</xdr:rowOff>
              </from>
              <to>
                <xdr:col>6</xdr:col>
                <xdr:colOff>403860</xdr:colOff>
                <xdr:row>29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28" name="Button 14">
          <controlPr defaultSize="0" autoFill="0" autoPict="0" macro="[0]!NUEVONOMBRE">
            <anchor moveWithCells="1" sizeWithCells="1">
              <from>
                <xdr:col>3</xdr:col>
                <xdr:colOff>358140</xdr:colOff>
                <xdr:row>55</xdr:row>
                <xdr:rowOff>76200</xdr:rowOff>
              </from>
              <to>
                <xdr:col>6</xdr:col>
                <xdr:colOff>274320</xdr:colOff>
                <xdr:row>58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29" name="Button 18">
          <controlPr defaultSize="0" autoFill="0" autoPict="0" macro="[0]!DATA_AREA">
            <anchor moveWithCells="1" sizeWithCells="1">
              <from>
                <xdr:col>8</xdr:col>
                <xdr:colOff>601980</xdr:colOff>
                <xdr:row>36</xdr:row>
                <xdr:rowOff>129540</xdr:rowOff>
              </from>
              <to>
                <xdr:col>11</xdr:col>
                <xdr:colOff>228600</xdr:colOff>
                <xdr:row>39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30" name="Button 19">
          <controlPr defaultSize="0" autoFill="0" autoPict="0">
            <anchor moveWithCells="1" sizeWithCells="1">
              <from>
                <xdr:col>8</xdr:col>
                <xdr:colOff>579120</xdr:colOff>
                <xdr:row>40</xdr:row>
                <xdr:rowOff>152400</xdr:rowOff>
              </from>
              <to>
                <xdr:col>11</xdr:col>
                <xdr:colOff>198120</xdr:colOff>
                <xdr:row>43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1" name="Button 20">
          <controlPr defaultSize="0" autoFill="0" autoPict="0" macro="[0]!DataCliente">
            <anchor moveWithCells="1" sizeWithCells="1">
              <from>
                <xdr:col>13</xdr:col>
                <xdr:colOff>144780</xdr:colOff>
                <xdr:row>35</xdr:row>
                <xdr:rowOff>152400</xdr:rowOff>
              </from>
              <to>
                <xdr:col>15</xdr:col>
                <xdr:colOff>373380</xdr:colOff>
                <xdr:row>38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32" name="Button 21">
          <controlPr defaultSize="0" autoFill="0" autoPict="0" macro="[0]!Botón21_Haga_clic_en">
            <anchor moveWithCells="1" sizeWithCells="1">
              <from>
                <xdr:col>13</xdr:col>
                <xdr:colOff>152400</xdr:colOff>
                <xdr:row>40</xdr:row>
                <xdr:rowOff>137160</xdr:rowOff>
              </from>
              <to>
                <xdr:col>15</xdr:col>
                <xdr:colOff>373380</xdr:colOff>
                <xdr:row>43</xdr:row>
                <xdr:rowOff>129540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A5F8-068F-4303-9938-28CBDFE13058}">
  <sheetPr codeName="Sheet39"/>
  <dimension ref="A1:A4"/>
  <sheetViews>
    <sheetView workbookViewId="0">
      <selection activeCell="A5" sqref="A5"/>
    </sheetView>
  </sheetViews>
  <sheetFormatPr baseColWidth="10" defaultColWidth="8.88671875" defaultRowHeight="14.4" x14ac:dyDescent="0.3"/>
  <cols>
    <col min="1" max="1" width="19.5546875" bestFit="1" customWidth="1"/>
  </cols>
  <sheetData>
    <row r="1" spans="1:1" x14ac:dyDescent="0.3">
      <c r="A1" t="s">
        <v>627</v>
      </c>
    </row>
    <row r="2" spans="1:1" x14ac:dyDescent="0.3">
      <c r="A2" t="s">
        <v>180</v>
      </c>
    </row>
    <row r="3" spans="1:1" x14ac:dyDescent="0.3">
      <c r="A3" t="s">
        <v>628</v>
      </c>
    </row>
    <row r="4" spans="1:1" x14ac:dyDescent="0.3">
      <c r="A4" t="s">
        <v>629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F68AA-49B4-4839-B27F-F94FF3F03DA6}">
  <sheetPr codeName="Sheet40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69.6640625" bestFit="1" customWidth="1"/>
  </cols>
  <sheetData>
    <row r="1" spans="1:1" x14ac:dyDescent="0.3">
      <c r="A1" t="s">
        <v>630</v>
      </c>
    </row>
    <row r="2" spans="1:1" x14ac:dyDescent="0.3">
      <c r="A2" s="59" t="s">
        <v>623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479D9-AF36-452E-A504-B64ACD92FA1F}">
  <sheetPr codeName="Sheet36"/>
  <dimension ref="A1:A5"/>
  <sheetViews>
    <sheetView workbookViewId="0">
      <selection activeCell="A5" sqref="A2:A5"/>
    </sheetView>
  </sheetViews>
  <sheetFormatPr baseColWidth="10" defaultColWidth="8.88671875" defaultRowHeight="14.4" x14ac:dyDescent="0.3"/>
  <cols>
    <col min="1" max="1" width="10.5546875" customWidth="1"/>
  </cols>
  <sheetData>
    <row r="1" spans="1:1" x14ac:dyDescent="0.3">
      <c r="A1" t="s">
        <v>17</v>
      </c>
    </row>
    <row r="2" spans="1:1" x14ac:dyDescent="0.3">
      <c r="A2" t="s">
        <v>624</v>
      </c>
    </row>
    <row r="3" spans="1:1" x14ac:dyDescent="0.3">
      <c r="A3" t="s">
        <v>625</v>
      </c>
    </row>
    <row r="4" spans="1:1" x14ac:dyDescent="0.3">
      <c r="A4" t="s">
        <v>626</v>
      </c>
    </row>
    <row r="5" spans="1:1" x14ac:dyDescent="0.3">
      <c r="A5" t="s">
        <v>560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776C-2D74-4DC3-BCE1-79DE3A74950C}">
  <sheetPr codeName="Sheet37"/>
  <dimension ref="A1:A3"/>
  <sheetViews>
    <sheetView workbookViewId="0">
      <selection activeCell="A2" sqref="A2:A3"/>
    </sheetView>
  </sheetViews>
  <sheetFormatPr baseColWidth="10" defaultColWidth="8.88671875" defaultRowHeight="14.4" x14ac:dyDescent="0.3"/>
  <cols>
    <col min="1" max="1" width="10.5546875" customWidth="1"/>
  </cols>
  <sheetData>
    <row r="1" spans="1:1" x14ac:dyDescent="0.3">
      <c r="A1" t="s">
        <v>17</v>
      </c>
    </row>
    <row r="2" spans="1:1" x14ac:dyDescent="0.3">
      <c r="A2" s="21" t="s">
        <v>624</v>
      </c>
    </row>
    <row r="3" spans="1:1" x14ac:dyDescent="0.3">
      <c r="A3" s="59" t="s">
        <v>625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F6C94-2BAF-4B00-AF8E-45FB363723B9}">
  <sheetPr codeName="Sheet33"/>
  <dimension ref="A1:F7"/>
  <sheetViews>
    <sheetView workbookViewId="0">
      <selection activeCell="F9" sqref="F9"/>
    </sheetView>
  </sheetViews>
  <sheetFormatPr baseColWidth="10" defaultColWidth="8.88671875" defaultRowHeight="14.4" x14ac:dyDescent="0.3"/>
  <cols>
    <col min="1" max="1" width="21.5546875" customWidth="1"/>
    <col min="2" max="2" width="23" customWidth="1"/>
    <col min="3" max="3" width="22" customWidth="1"/>
    <col min="4" max="4" width="18.33203125" customWidth="1"/>
    <col min="5" max="5" width="22.44140625" customWidth="1"/>
    <col min="6" max="6" width="13.44140625" bestFit="1" customWidth="1"/>
  </cols>
  <sheetData>
    <row r="1" spans="1:6" x14ac:dyDescent="0.3">
      <c r="A1" t="s">
        <v>547</v>
      </c>
      <c r="B1" t="s">
        <v>553</v>
      </c>
      <c r="C1" t="s">
        <v>549</v>
      </c>
      <c r="D1" t="s">
        <v>550</v>
      </c>
      <c r="E1" t="s">
        <v>551</v>
      </c>
      <c r="F1" t="s">
        <v>524</v>
      </c>
    </row>
    <row r="2" spans="1:6" x14ac:dyDescent="0.3">
      <c r="A2" t="s">
        <v>546</v>
      </c>
      <c r="B2" t="s">
        <v>514</v>
      </c>
      <c r="C2" t="s">
        <v>345</v>
      </c>
      <c r="D2" t="s">
        <v>208</v>
      </c>
      <c r="E2" t="s">
        <v>345</v>
      </c>
      <c r="F2" t="s">
        <v>537</v>
      </c>
    </row>
    <row r="3" spans="1:6" x14ac:dyDescent="0.3">
      <c r="A3" t="s">
        <v>546</v>
      </c>
      <c r="B3" t="s">
        <v>514</v>
      </c>
      <c r="C3" t="s">
        <v>619</v>
      </c>
      <c r="D3" t="s">
        <v>114</v>
      </c>
      <c r="E3" t="s">
        <v>546</v>
      </c>
      <c r="F3" t="s">
        <v>538</v>
      </c>
    </row>
    <row r="4" spans="1:6" x14ac:dyDescent="0.3">
      <c r="A4" t="s">
        <v>350</v>
      </c>
      <c r="B4" t="s">
        <v>515</v>
      </c>
      <c r="C4" t="s">
        <v>351</v>
      </c>
      <c r="D4" t="s">
        <v>546</v>
      </c>
      <c r="E4" t="s">
        <v>545</v>
      </c>
      <c r="F4" t="s">
        <v>537</v>
      </c>
    </row>
    <row r="5" spans="1:6" x14ac:dyDescent="0.3">
      <c r="A5" t="s">
        <v>345</v>
      </c>
      <c r="B5" t="s">
        <v>515</v>
      </c>
      <c r="C5" t="s">
        <v>345</v>
      </c>
      <c r="D5" t="s">
        <v>345</v>
      </c>
      <c r="E5" t="s">
        <v>546</v>
      </c>
      <c r="F5" t="s">
        <v>537</v>
      </c>
    </row>
    <row r="6" spans="1:6" x14ac:dyDescent="0.3">
      <c r="A6" t="s">
        <v>350</v>
      </c>
      <c r="B6" t="s">
        <v>515</v>
      </c>
      <c r="C6" t="s">
        <v>351</v>
      </c>
      <c r="D6" t="s">
        <v>114</v>
      </c>
      <c r="E6" t="s">
        <v>345</v>
      </c>
      <c r="F6" t="s">
        <v>537</v>
      </c>
    </row>
    <row r="7" spans="1:6" x14ac:dyDescent="0.3">
      <c r="A7" t="s">
        <v>546</v>
      </c>
      <c r="B7" t="s">
        <v>515</v>
      </c>
      <c r="C7" t="s">
        <v>619</v>
      </c>
      <c r="D7" t="s">
        <v>546</v>
      </c>
      <c r="E7" t="s">
        <v>546</v>
      </c>
      <c r="F7" t="s">
        <v>538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308B-B326-40CD-BB9F-2B0F085CA2D2}">
  <sheetPr codeName="Sheet34"/>
  <dimension ref="A1:A5"/>
  <sheetViews>
    <sheetView workbookViewId="0">
      <selection activeCell="A5" sqref="A5"/>
    </sheetView>
  </sheetViews>
  <sheetFormatPr baseColWidth="10" defaultColWidth="8.88671875" defaultRowHeight="14.4" x14ac:dyDescent="0.3"/>
  <cols>
    <col min="1" max="1" width="69.6640625" bestFit="1" customWidth="1"/>
  </cols>
  <sheetData>
    <row r="1" spans="1:1" x14ac:dyDescent="0.3">
      <c r="A1" t="s">
        <v>548</v>
      </c>
    </row>
    <row r="2" spans="1:1" x14ac:dyDescent="0.3">
      <c r="A2" t="s">
        <v>620</v>
      </c>
    </row>
    <row r="3" spans="1:1" x14ac:dyDescent="0.3">
      <c r="A3" t="s">
        <v>621</v>
      </c>
    </row>
    <row r="4" spans="1:1" x14ac:dyDescent="0.3">
      <c r="A4" t="s">
        <v>622</v>
      </c>
    </row>
    <row r="5" spans="1:1" x14ac:dyDescent="0.3">
      <c r="A5" t="s">
        <v>623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E56E-4787-4473-A73B-32A65E6AAF58}">
  <sheetPr codeName="Sheet35"/>
  <dimension ref="A1:K5"/>
  <sheetViews>
    <sheetView workbookViewId="0">
      <selection activeCell="I2" sqref="I2"/>
    </sheetView>
  </sheetViews>
  <sheetFormatPr baseColWidth="10" defaultColWidth="8.88671875" defaultRowHeight="14.4" x14ac:dyDescent="0.3"/>
  <cols>
    <col min="1" max="1" width="21.5546875" customWidth="1"/>
    <col min="2" max="2" width="4.44140625" customWidth="1"/>
    <col min="3" max="3" width="23" customWidth="1"/>
    <col min="4" max="4" width="4.6640625" customWidth="1"/>
    <col min="5" max="5" width="22" customWidth="1"/>
    <col min="6" max="6" width="4.33203125" customWidth="1"/>
    <col min="7" max="7" width="18.33203125" customWidth="1"/>
    <col min="8" max="8" width="3.6640625" customWidth="1"/>
    <col min="9" max="9" width="22.44140625" customWidth="1"/>
    <col min="10" max="10" width="4.6640625" customWidth="1"/>
    <col min="11" max="11" width="13.44140625" bestFit="1" customWidth="1"/>
  </cols>
  <sheetData>
    <row r="1" spans="1:11" x14ac:dyDescent="0.3">
      <c r="A1" t="s">
        <v>547</v>
      </c>
      <c r="C1" t="s">
        <v>553</v>
      </c>
      <c r="E1" t="s">
        <v>549</v>
      </c>
      <c r="G1" t="s">
        <v>550</v>
      </c>
      <c r="I1" t="s">
        <v>551</v>
      </c>
      <c r="K1" t="s">
        <v>524</v>
      </c>
    </row>
    <row r="2" spans="1:11" x14ac:dyDescent="0.3">
      <c r="A2" t="s">
        <v>546</v>
      </c>
      <c r="C2" t="s">
        <v>514</v>
      </c>
      <c r="E2" t="s">
        <v>345</v>
      </c>
      <c r="G2" t="s">
        <v>208</v>
      </c>
      <c r="I2" t="s">
        <v>345</v>
      </c>
      <c r="K2" t="s">
        <v>537</v>
      </c>
    </row>
    <row r="3" spans="1:11" x14ac:dyDescent="0.3">
      <c r="A3" t="s">
        <v>350</v>
      </c>
      <c r="C3" t="s">
        <v>515</v>
      </c>
      <c r="E3" t="s">
        <v>619</v>
      </c>
      <c r="G3" t="s">
        <v>114</v>
      </c>
      <c r="I3" t="s">
        <v>546</v>
      </c>
      <c r="K3" t="s">
        <v>538</v>
      </c>
    </row>
    <row r="4" spans="1:11" x14ac:dyDescent="0.3">
      <c r="A4" t="s">
        <v>345</v>
      </c>
      <c r="E4" t="s">
        <v>351</v>
      </c>
      <c r="G4" t="s">
        <v>546</v>
      </c>
      <c r="I4" t="s">
        <v>545</v>
      </c>
    </row>
    <row r="5" spans="1:11" x14ac:dyDescent="0.3">
      <c r="G5" t="s">
        <v>345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F8F2-7817-40AA-A2DD-8393738571F8}">
  <sheetPr codeName="Sheet5"/>
  <dimension ref="A1"/>
  <sheetViews>
    <sheetView workbookViewId="0"/>
  </sheetViews>
  <sheetFormatPr baseColWidth="10" defaultColWidth="8.88671875"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3:F22"/>
  <sheetViews>
    <sheetView topLeftCell="A4" workbookViewId="0">
      <selection activeCell="B23" sqref="B23"/>
    </sheetView>
  </sheetViews>
  <sheetFormatPr baseColWidth="10" defaultColWidth="11.44140625" defaultRowHeight="14.4" x14ac:dyDescent="0.3"/>
  <cols>
    <col min="2" max="2" width="26" bestFit="1" customWidth="1"/>
    <col min="3" max="3" width="1.6640625" customWidth="1"/>
    <col min="4" max="4" width="24.44140625" customWidth="1"/>
    <col min="5" max="5" width="30.88671875" customWidth="1"/>
    <col min="6" max="6" width="45.33203125" customWidth="1"/>
  </cols>
  <sheetData>
    <row r="3" spans="1:6" x14ac:dyDescent="0.3">
      <c r="B3" t="s">
        <v>0</v>
      </c>
      <c r="D3" t="s">
        <v>1</v>
      </c>
      <c r="F3" t="s">
        <v>2</v>
      </c>
    </row>
    <row r="4" spans="1:6" x14ac:dyDescent="0.3">
      <c r="B4" t="s">
        <v>291</v>
      </c>
      <c r="D4" t="s">
        <v>244</v>
      </c>
      <c r="F4" t="s">
        <v>250</v>
      </c>
    </row>
    <row r="5" spans="1:6" x14ac:dyDescent="0.3">
      <c r="B5" t="s">
        <v>292</v>
      </c>
      <c r="D5" t="s">
        <v>245</v>
      </c>
      <c r="F5" t="s">
        <v>249</v>
      </c>
    </row>
    <row r="6" spans="1:6" x14ac:dyDescent="0.3">
      <c r="A6" t="s">
        <v>290</v>
      </c>
      <c r="B6" t="s">
        <v>288</v>
      </c>
      <c r="D6" t="s">
        <v>246</v>
      </c>
    </row>
    <row r="7" spans="1:6" x14ac:dyDescent="0.3">
      <c r="B7" t="s">
        <v>293</v>
      </c>
      <c r="D7" t="s">
        <v>247</v>
      </c>
    </row>
    <row r="8" spans="1:6" x14ac:dyDescent="0.3">
      <c r="B8" t="s">
        <v>289</v>
      </c>
      <c r="D8" t="s">
        <v>248</v>
      </c>
    </row>
    <row r="11" spans="1:6" x14ac:dyDescent="0.3">
      <c r="B11" s="25"/>
      <c r="D11" s="26"/>
      <c r="E11" t="s">
        <v>301</v>
      </c>
    </row>
    <row r="12" spans="1:6" x14ac:dyDescent="0.3">
      <c r="B12" s="21" t="s">
        <v>295</v>
      </c>
      <c r="D12" s="22"/>
      <c r="E12" t="s">
        <v>295</v>
      </c>
    </row>
    <row r="13" spans="1:6" x14ac:dyDescent="0.3">
      <c r="B13" s="22" t="s">
        <v>296</v>
      </c>
      <c r="D13" s="22"/>
      <c r="E13" t="s">
        <v>296</v>
      </c>
    </row>
    <row r="14" spans="1:6" x14ac:dyDescent="0.3">
      <c r="B14" s="22" t="s">
        <v>300</v>
      </c>
      <c r="D14" s="22"/>
      <c r="E14" t="s">
        <v>297</v>
      </c>
    </row>
    <row r="15" spans="1:6" x14ac:dyDescent="0.3">
      <c r="B15" s="21" t="s">
        <v>297</v>
      </c>
      <c r="D15" s="22"/>
      <c r="E15" t="s">
        <v>298</v>
      </c>
    </row>
    <row r="16" spans="1:6" x14ac:dyDescent="0.3">
      <c r="B16" s="22" t="s">
        <v>298</v>
      </c>
      <c r="D16" s="22"/>
      <c r="E16" t="s">
        <v>299</v>
      </c>
    </row>
    <row r="17" spans="2:5" x14ac:dyDescent="0.3">
      <c r="B17" s="21" t="s">
        <v>299</v>
      </c>
      <c r="D17" s="22"/>
      <c r="E17" t="s">
        <v>302</v>
      </c>
    </row>
    <row r="18" spans="2:5" x14ac:dyDescent="0.3">
      <c r="D18" s="26"/>
      <c r="E18" t="s">
        <v>294</v>
      </c>
    </row>
    <row r="19" spans="2:5" x14ac:dyDescent="0.3">
      <c r="D19" s="22"/>
      <c r="E19" t="s">
        <v>303</v>
      </c>
    </row>
    <row r="20" spans="2:5" x14ac:dyDescent="0.3">
      <c r="D20" s="22"/>
      <c r="E20" t="s">
        <v>304</v>
      </c>
    </row>
    <row r="21" spans="2:5" x14ac:dyDescent="0.3">
      <c r="E21" t="s">
        <v>244</v>
      </c>
    </row>
    <row r="22" spans="2:5" x14ac:dyDescent="0.3">
      <c r="E22" t="s">
        <v>305</v>
      </c>
    </row>
  </sheetData>
  <sortState xmlns:xlrd2="http://schemas.microsoft.com/office/spreadsheetml/2017/richdata2" ref="B13:B17">
    <sortCondition ref="B12"/>
  </sortState>
  <pageMargins left="0.7" right="0.7" top="0.75" bottom="0.75" header="0.3" footer="0.3"/>
  <tableParts count="3">
    <tablePart r:id="rId1"/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Y121"/>
  <sheetViews>
    <sheetView topLeftCell="A43" zoomScale="70" zoomScaleNormal="70" workbookViewId="0">
      <selection activeCell="A51" sqref="A51:D65"/>
    </sheetView>
  </sheetViews>
  <sheetFormatPr baseColWidth="10" defaultColWidth="11.44140625" defaultRowHeight="14.4" x14ac:dyDescent="0.3"/>
  <cols>
    <col min="2" max="2" width="93.33203125" bestFit="1" customWidth="1"/>
    <col min="3" max="3" width="56.6640625" bestFit="1" customWidth="1"/>
    <col min="4" max="4" width="21" bestFit="1" customWidth="1"/>
    <col min="5" max="5" width="20.88671875" customWidth="1"/>
    <col min="6" max="6" width="24" bestFit="1" customWidth="1"/>
    <col min="7" max="7" width="16.6640625" bestFit="1" customWidth="1"/>
    <col min="8" max="8" width="23.33203125" bestFit="1" customWidth="1"/>
    <col min="9" max="9" width="16" customWidth="1"/>
    <col min="10" max="10" width="23.33203125" bestFit="1" customWidth="1"/>
    <col min="11" max="11" width="12" customWidth="1"/>
    <col min="12" max="12" width="17" bestFit="1" customWidth="1"/>
    <col min="13" max="13" width="37.5546875" customWidth="1"/>
    <col min="14" max="14" width="12.109375" customWidth="1"/>
    <col min="15" max="15" width="13.6640625" customWidth="1"/>
    <col min="16" max="16" width="18.6640625" customWidth="1"/>
    <col min="17" max="17" width="16.6640625" bestFit="1" customWidth="1"/>
    <col min="18" max="19" width="12.109375" customWidth="1"/>
    <col min="21" max="26" width="12.109375" customWidth="1"/>
  </cols>
  <sheetData>
    <row r="1" spans="2:18" x14ac:dyDescent="0.3">
      <c r="B1" s="17" t="s">
        <v>8</v>
      </c>
      <c r="E1" t="s">
        <v>13</v>
      </c>
      <c r="L1" t="s">
        <v>148</v>
      </c>
      <c r="O1" t="s">
        <v>153</v>
      </c>
    </row>
    <row r="3" spans="2:18" x14ac:dyDescent="0.3">
      <c r="E3" t="s">
        <v>14</v>
      </c>
      <c r="F3" t="s">
        <v>15</v>
      </c>
      <c r="G3" t="s">
        <v>16</v>
      </c>
      <c r="H3" t="s">
        <v>17</v>
      </c>
      <c r="I3" t="s">
        <v>18</v>
      </c>
      <c r="J3" t="s">
        <v>19</v>
      </c>
      <c r="L3" s="13" t="s">
        <v>149</v>
      </c>
      <c r="M3" s="13" t="s">
        <v>150</v>
      </c>
      <c r="O3" t="s">
        <v>154</v>
      </c>
      <c r="P3" t="s">
        <v>17</v>
      </c>
      <c r="Q3" t="s">
        <v>155</v>
      </c>
      <c r="R3" t="s">
        <v>50</v>
      </c>
    </row>
    <row r="4" spans="2:18" ht="30" customHeight="1" x14ac:dyDescent="0.3">
      <c r="B4" t="s">
        <v>12</v>
      </c>
      <c r="E4" t="s">
        <v>20</v>
      </c>
      <c r="F4" t="s">
        <v>151</v>
      </c>
      <c r="G4" t="s">
        <v>23</v>
      </c>
      <c r="H4" t="s">
        <v>27</v>
      </c>
      <c r="I4" t="s">
        <v>21</v>
      </c>
      <c r="J4" t="s">
        <v>22</v>
      </c>
      <c r="L4" t="s">
        <v>25</v>
      </c>
      <c r="M4" s="14" t="s">
        <v>159</v>
      </c>
      <c r="O4" t="s">
        <v>25</v>
      </c>
      <c r="P4" t="s">
        <v>156</v>
      </c>
      <c r="Q4">
        <v>1</v>
      </c>
      <c r="R4" t="s">
        <v>80</v>
      </c>
    </row>
    <row r="5" spans="2:18" x14ac:dyDescent="0.3">
      <c r="B5" t="s">
        <v>11</v>
      </c>
      <c r="E5" t="s">
        <v>21</v>
      </c>
      <c r="F5" t="s">
        <v>152</v>
      </c>
      <c r="G5" t="s">
        <v>24</v>
      </c>
      <c r="H5" t="s">
        <v>27</v>
      </c>
      <c r="I5" t="s">
        <v>25</v>
      </c>
      <c r="J5" t="s">
        <v>26</v>
      </c>
      <c r="O5" t="s">
        <v>25</v>
      </c>
      <c r="P5" t="s">
        <v>157</v>
      </c>
      <c r="Q5">
        <v>2</v>
      </c>
      <c r="R5" t="s">
        <v>158</v>
      </c>
    </row>
    <row r="6" spans="2:18" x14ac:dyDescent="0.3">
      <c r="B6" t="s">
        <v>162</v>
      </c>
      <c r="O6" t="s">
        <v>25</v>
      </c>
      <c r="P6" t="s">
        <v>160</v>
      </c>
      <c r="Q6">
        <v>3</v>
      </c>
      <c r="R6" t="s">
        <v>95</v>
      </c>
    </row>
    <row r="7" spans="2:18" x14ac:dyDescent="0.3">
      <c r="B7" t="s">
        <v>161</v>
      </c>
    </row>
    <row r="8" spans="2:18" x14ac:dyDescent="0.3">
      <c r="B8" t="s">
        <v>160</v>
      </c>
      <c r="I8" s="1"/>
    </row>
    <row r="10" spans="2:18" x14ac:dyDescent="0.3">
      <c r="J10" s="1"/>
    </row>
    <row r="11" spans="2:18" x14ac:dyDescent="0.3">
      <c r="B11" s="4" t="s">
        <v>12</v>
      </c>
    </row>
    <row r="12" spans="2:18" x14ac:dyDescent="0.3">
      <c r="B12" s="2" t="s">
        <v>9</v>
      </c>
    </row>
    <row r="13" spans="2:18" x14ac:dyDescent="0.3">
      <c r="B13" s="3" t="s">
        <v>10</v>
      </c>
    </row>
    <row r="14" spans="2:18" x14ac:dyDescent="0.3">
      <c r="B14" s="5" t="s">
        <v>160</v>
      </c>
    </row>
    <row r="16" spans="2:18" x14ac:dyDescent="0.3">
      <c r="B16" s="17" t="s">
        <v>171</v>
      </c>
      <c r="C16" s="17"/>
    </row>
    <row r="18" spans="2:8" x14ac:dyDescent="0.3">
      <c r="B18" t="s">
        <v>38</v>
      </c>
      <c r="D18" t="s">
        <v>172</v>
      </c>
      <c r="F18" t="s">
        <v>47</v>
      </c>
      <c r="H18" t="s">
        <v>178</v>
      </c>
    </row>
    <row r="19" spans="2:8" x14ac:dyDescent="0.3">
      <c r="B19" t="s">
        <v>4</v>
      </c>
      <c r="D19" t="s">
        <v>173</v>
      </c>
      <c r="F19" t="s">
        <v>174</v>
      </c>
      <c r="H19" t="s">
        <v>179</v>
      </c>
    </row>
    <row r="20" spans="2:8" x14ac:dyDescent="0.3">
      <c r="B20" t="s">
        <v>5</v>
      </c>
      <c r="F20" t="s">
        <v>175</v>
      </c>
    </row>
    <row r="21" spans="2:8" x14ac:dyDescent="0.3">
      <c r="B21" t="s">
        <v>6</v>
      </c>
      <c r="F21" t="s">
        <v>176</v>
      </c>
    </row>
    <row r="22" spans="2:8" x14ac:dyDescent="0.3">
      <c r="B22" t="s">
        <v>109</v>
      </c>
      <c r="D22" t="s">
        <v>524</v>
      </c>
      <c r="F22" t="s">
        <v>177</v>
      </c>
    </row>
    <row r="23" spans="2:8" x14ac:dyDescent="0.3">
      <c r="B23" t="s">
        <v>145</v>
      </c>
      <c r="D23" t="s">
        <v>537</v>
      </c>
    </row>
    <row r="24" spans="2:8" x14ac:dyDescent="0.3">
      <c r="B24" t="s">
        <v>146</v>
      </c>
      <c r="D24" t="s">
        <v>538</v>
      </c>
    </row>
    <row r="25" spans="2:8" x14ac:dyDescent="0.3">
      <c r="B25" t="s">
        <v>132</v>
      </c>
    </row>
    <row r="26" spans="2:8" x14ac:dyDescent="0.3">
      <c r="B26" t="s">
        <v>120</v>
      </c>
    </row>
    <row r="27" spans="2:8" x14ac:dyDescent="0.3">
      <c r="B27" t="s">
        <v>7</v>
      </c>
    </row>
    <row r="28" spans="2:8" x14ac:dyDescent="0.3">
      <c r="B28" t="s">
        <v>130</v>
      </c>
    </row>
    <row r="30" spans="2:8" x14ac:dyDescent="0.3">
      <c r="B30" s="17" t="s">
        <v>223</v>
      </c>
      <c r="C30" s="17"/>
    </row>
    <row r="32" spans="2:8" x14ac:dyDescent="0.3">
      <c r="B32" t="s">
        <v>369</v>
      </c>
      <c r="C32" t="s">
        <v>306</v>
      </c>
      <c r="D32" t="s">
        <v>524</v>
      </c>
      <c r="F32" t="s">
        <v>12</v>
      </c>
      <c r="H32" s="23" t="s">
        <v>231</v>
      </c>
    </row>
    <row r="33" spans="2:14" x14ac:dyDescent="0.3">
      <c r="B33" t="s">
        <v>541</v>
      </c>
      <c r="C33" t="s">
        <v>307</v>
      </c>
      <c r="D33" t="s">
        <v>537</v>
      </c>
      <c r="F33" t="s">
        <v>371</v>
      </c>
      <c r="H33" t="s">
        <v>371</v>
      </c>
      <c r="J33" s="1" t="s">
        <v>12</v>
      </c>
    </row>
    <row r="34" spans="2:14" x14ac:dyDescent="0.3">
      <c r="B34" t="s">
        <v>542</v>
      </c>
      <c r="C34" t="s">
        <v>308</v>
      </c>
      <c r="D34" t="s">
        <v>538</v>
      </c>
      <c r="F34" t="s">
        <v>372</v>
      </c>
      <c r="H34" t="s">
        <v>372</v>
      </c>
      <c r="J34" t="s">
        <v>371</v>
      </c>
    </row>
    <row r="35" spans="2:14" x14ac:dyDescent="0.3">
      <c r="B35" t="s">
        <v>543</v>
      </c>
      <c r="C35" t="s">
        <v>308</v>
      </c>
      <c r="D35" t="s">
        <v>537</v>
      </c>
      <c r="F35" t="s">
        <v>373</v>
      </c>
      <c r="H35" t="s">
        <v>373</v>
      </c>
      <c r="J35" t="s">
        <v>372</v>
      </c>
    </row>
    <row r="36" spans="2:14" x14ac:dyDescent="0.3">
      <c r="B36" t="s">
        <v>544</v>
      </c>
      <c r="D36" t="s">
        <v>537</v>
      </c>
      <c r="F36" t="s">
        <v>381</v>
      </c>
      <c r="H36" t="s">
        <v>381</v>
      </c>
      <c r="J36" t="s">
        <v>373</v>
      </c>
    </row>
    <row r="37" spans="2:14" x14ac:dyDescent="0.3">
      <c r="H37" s="7" t="s">
        <v>382</v>
      </c>
      <c r="J37" t="s">
        <v>381</v>
      </c>
    </row>
    <row r="38" spans="2:14" x14ac:dyDescent="0.3">
      <c r="H38" s="11"/>
    </row>
    <row r="39" spans="2:14" x14ac:dyDescent="0.3">
      <c r="H39" s="11"/>
    </row>
    <row r="40" spans="2:14" x14ac:dyDescent="0.3">
      <c r="H40" s="11"/>
    </row>
    <row r="42" spans="2:14" x14ac:dyDescent="0.3">
      <c r="B42" t="s">
        <v>233</v>
      </c>
      <c r="C42" t="s">
        <v>309</v>
      </c>
      <c r="D42" t="s">
        <v>524</v>
      </c>
      <c r="J42" t="s">
        <v>364</v>
      </c>
    </row>
    <row r="43" spans="2:14" x14ac:dyDescent="0.3">
      <c r="B43" t="s">
        <v>224</v>
      </c>
      <c r="C43" t="s">
        <v>225</v>
      </c>
      <c r="D43" t="s">
        <v>537</v>
      </c>
      <c r="J43" t="s">
        <v>12</v>
      </c>
      <c r="L43" t="s">
        <v>366</v>
      </c>
      <c r="N43" t="s">
        <v>368</v>
      </c>
    </row>
    <row r="44" spans="2:14" x14ac:dyDescent="0.3">
      <c r="B44" t="s">
        <v>226</v>
      </c>
      <c r="C44" t="s">
        <v>227</v>
      </c>
      <c r="D44" t="s">
        <v>537</v>
      </c>
      <c r="J44" t="s">
        <v>326</v>
      </c>
      <c r="L44" t="s">
        <v>12</v>
      </c>
      <c r="N44" t="s">
        <v>12</v>
      </c>
    </row>
    <row r="45" spans="2:14" x14ac:dyDescent="0.3">
      <c r="B45" t="s">
        <v>232</v>
      </c>
      <c r="C45" t="s">
        <v>228</v>
      </c>
      <c r="D45" t="s">
        <v>537</v>
      </c>
      <c r="J45" t="s">
        <v>328</v>
      </c>
      <c r="L45" t="s">
        <v>326</v>
      </c>
      <c r="N45" t="s">
        <v>326</v>
      </c>
    </row>
    <row r="46" spans="2:14" x14ac:dyDescent="0.3">
      <c r="B46" t="s">
        <v>234</v>
      </c>
      <c r="C46" t="s">
        <v>229</v>
      </c>
      <c r="D46" t="s">
        <v>537</v>
      </c>
      <c r="J46" t="s">
        <v>330</v>
      </c>
      <c r="L46" t="s">
        <v>328</v>
      </c>
      <c r="N46" t="s">
        <v>328</v>
      </c>
    </row>
    <row r="47" spans="2:14" x14ac:dyDescent="0.3">
      <c r="B47" t="s">
        <v>235</v>
      </c>
      <c r="C47" t="s">
        <v>230</v>
      </c>
      <c r="D47" t="s">
        <v>537</v>
      </c>
      <c r="J47" t="s">
        <v>332</v>
      </c>
      <c r="L47" t="s">
        <v>330</v>
      </c>
      <c r="N47" t="s">
        <v>330</v>
      </c>
    </row>
    <row r="48" spans="2:14" x14ac:dyDescent="0.3">
      <c r="B48" t="s">
        <v>236</v>
      </c>
      <c r="D48" t="s">
        <v>537</v>
      </c>
      <c r="L48" t="s">
        <v>332</v>
      </c>
      <c r="M48" s="1"/>
      <c r="N48" t="s">
        <v>332</v>
      </c>
    </row>
    <row r="49" spans="1:19" x14ac:dyDescent="0.3">
      <c r="N49" t="s">
        <v>365</v>
      </c>
    </row>
    <row r="50" spans="1:19" x14ac:dyDescent="0.3">
      <c r="H50" t="s">
        <v>12</v>
      </c>
    </row>
    <row r="51" spans="1:19" x14ac:dyDescent="0.3">
      <c r="A51" t="s">
        <v>370</v>
      </c>
      <c r="B51" t="s">
        <v>310</v>
      </c>
      <c r="C51" t="s">
        <v>311</v>
      </c>
      <c r="D51" t="s">
        <v>312</v>
      </c>
      <c r="E51" t="s">
        <v>59</v>
      </c>
      <c r="H51" t="s">
        <v>327</v>
      </c>
      <c r="J51" t="s">
        <v>12</v>
      </c>
    </row>
    <row r="52" spans="1:19" x14ac:dyDescent="0.3">
      <c r="A52" t="s">
        <v>371</v>
      </c>
      <c r="B52" s="11" t="s">
        <v>313</v>
      </c>
      <c r="C52" s="27" t="s">
        <v>314</v>
      </c>
      <c r="D52" t="s">
        <v>315</v>
      </c>
      <c r="E52" s="27"/>
      <c r="H52" t="s">
        <v>336</v>
      </c>
      <c r="J52" t="s">
        <v>327</v>
      </c>
      <c r="L52" t="s">
        <v>310</v>
      </c>
      <c r="M52" t="s">
        <v>311</v>
      </c>
      <c r="N52" t="s">
        <v>312</v>
      </c>
      <c r="P52" s="15" t="s">
        <v>369</v>
      </c>
      <c r="Q52" s="15" t="s">
        <v>310</v>
      </c>
      <c r="R52" s="15" t="s">
        <v>311</v>
      </c>
      <c r="S52" s="15" t="s">
        <v>312</v>
      </c>
    </row>
    <row r="53" spans="1:19" x14ac:dyDescent="0.3">
      <c r="A53" t="s">
        <v>371</v>
      </c>
      <c r="B53" s="11" t="s">
        <v>313</v>
      </c>
      <c r="C53" s="27" t="s">
        <v>314</v>
      </c>
      <c r="D53" t="s">
        <v>316</v>
      </c>
      <c r="E53" s="27"/>
      <c r="H53" t="s">
        <v>337</v>
      </c>
      <c r="J53" t="s">
        <v>336</v>
      </c>
      <c r="L53" t="s">
        <v>234</v>
      </c>
      <c r="M53" t="s">
        <v>237</v>
      </c>
      <c r="N53" t="s">
        <v>239</v>
      </c>
      <c r="P53" t="s">
        <v>371</v>
      </c>
      <c r="Q53" s="30" t="s">
        <v>313</v>
      </c>
      <c r="R53" s="28" t="s">
        <v>314</v>
      </c>
      <c r="S53" t="s">
        <v>334</v>
      </c>
    </row>
    <row r="54" spans="1:19" x14ac:dyDescent="0.3">
      <c r="A54" t="s">
        <v>371</v>
      </c>
      <c r="B54" s="11" t="s">
        <v>313</v>
      </c>
      <c r="C54" s="27" t="s">
        <v>314</v>
      </c>
      <c r="D54" t="s">
        <v>317</v>
      </c>
      <c r="E54" s="27"/>
      <c r="H54" t="s">
        <v>338</v>
      </c>
      <c r="J54" t="s">
        <v>337</v>
      </c>
      <c r="L54" t="s">
        <v>234</v>
      </c>
      <c r="M54" t="s">
        <v>237</v>
      </c>
      <c r="N54" t="s">
        <v>240</v>
      </c>
      <c r="P54" t="s">
        <v>371</v>
      </c>
      <c r="Q54" s="3" t="s">
        <v>313</v>
      </c>
      <c r="R54" s="28" t="s">
        <v>314</v>
      </c>
      <c r="S54" t="s">
        <v>335</v>
      </c>
    </row>
    <row r="55" spans="1:19" x14ac:dyDescent="0.3">
      <c r="A55" t="s">
        <v>371</v>
      </c>
      <c r="B55" s="11" t="s">
        <v>313</v>
      </c>
      <c r="C55" s="27" t="s">
        <v>314</v>
      </c>
      <c r="D55" t="s">
        <v>318</v>
      </c>
      <c r="E55" s="27"/>
      <c r="H55" t="s">
        <v>339</v>
      </c>
      <c r="J55" t="s">
        <v>338</v>
      </c>
      <c r="L55" s="1" t="s">
        <v>234</v>
      </c>
      <c r="M55" t="s">
        <v>237</v>
      </c>
      <c r="N55" t="s">
        <v>242</v>
      </c>
      <c r="P55" t="s">
        <v>371</v>
      </c>
      <c r="Q55" s="3" t="s">
        <v>313</v>
      </c>
      <c r="R55" s="29" t="s">
        <v>314</v>
      </c>
      <c r="S55" s="28" t="s">
        <v>317</v>
      </c>
    </row>
    <row r="56" spans="1:19" x14ac:dyDescent="0.3">
      <c r="A56" t="s">
        <v>371</v>
      </c>
      <c r="B56" s="11" t="s">
        <v>313</v>
      </c>
      <c r="C56" s="27" t="s">
        <v>314</v>
      </c>
      <c r="D56" t="s">
        <v>319</v>
      </c>
      <c r="E56" s="27"/>
      <c r="H56" t="s">
        <v>340</v>
      </c>
      <c r="J56" t="s">
        <v>339</v>
      </c>
      <c r="L56" t="s">
        <v>234</v>
      </c>
      <c r="M56" t="s">
        <v>237</v>
      </c>
      <c r="N56" t="s">
        <v>243</v>
      </c>
      <c r="O56" s="1"/>
      <c r="P56" t="s">
        <v>371</v>
      </c>
      <c r="Q56" s="3" t="s">
        <v>313</v>
      </c>
      <c r="R56" s="29" t="s">
        <v>314</v>
      </c>
      <c r="S56" s="28" t="s">
        <v>318</v>
      </c>
    </row>
    <row r="57" spans="1:19" x14ac:dyDescent="0.3">
      <c r="A57" t="s">
        <v>371</v>
      </c>
      <c r="B57" s="11" t="s">
        <v>313</v>
      </c>
      <c r="C57" s="27" t="s">
        <v>314</v>
      </c>
      <c r="D57" t="s">
        <v>320</v>
      </c>
      <c r="E57" s="27"/>
      <c r="F57" s="1"/>
      <c r="H57" t="s">
        <v>341</v>
      </c>
      <c r="J57" t="s">
        <v>340</v>
      </c>
      <c r="L57" t="s">
        <v>234</v>
      </c>
      <c r="M57" t="s">
        <v>237</v>
      </c>
      <c r="N57" t="s">
        <v>238</v>
      </c>
      <c r="P57" t="s">
        <v>371</v>
      </c>
      <c r="Q57" s="3" t="s">
        <v>313</v>
      </c>
      <c r="R57" s="31" t="s">
        <v>314</v>
      </c>
      <c r="S57" s="28" t="s">
        <v>319</v>
      </c>
    </row>
    <row r="58" spans="1:19" x14ac:dyDescent="0.3">
      <c r="A58" t="s">
        <v>372</v>
      </c>
      <c r="B58" s="11" t="s">
        <v>321</v>
      </c>
      <c r="C58" s="27" t="s">
        <v>322</v>
      </c>
      <c r="D58" t="s">
        <v>323</v>
      </c>
      <c r="E58" s="27"/>
      <c r="G58" s="1"/>
      <c r="J58" t="s">
        <v>341</v>
      </c>
      <c r="L58" t="s">
        <v>234</v>
      </c>
      <c r="M58" t="s">
        <v>237</v>
      </c>
      <c r="N58" t="s">
        <v>241</v>
      </c>
    </row>
    <row r="59" spans="1:19" x14ac:dyDescent="0.3">
      <c r="A59" t="s">
        <v>372</v>
      </c>
      <c r="B59" s="11" t="s">
        <v>321</v>
      </c>
      <c r="C59" s="27" t="s">
        <v>322</v>
      </c>
      <c r="D59" t="s">
        <v>324</v>
      </c>
      <c r="E59" s="27"/>
      <c r="J59" t="s">
        <v>367</v>
      </c>
      <c r="N59" s="1"/>
    </row>
    <row r="60" spans="1:19" x14ac:dyDescent="0.3">
      <c r="A60" t="s">
        <v>371</v>
      </c>
      <c r="B60" s="11" t="s">
        <v>325</v>
      </c>
      <c r="C60" s="27" t="s">
        <v>326</v>
      </c>
      <c r="D60" t="s">
        <v>327</v>
      </c>
      <c r="E60" s="27"/>
      <c r="J60" s="1"/>
    </row>
    <row r="61" spans="1:19" x14ac:dyDescent="0.3">
      <c r="A61" t="s">
        <v>371</v>
      </c>
      <c r="B61" s="11" t="s">
        <v>325</v>
      </c>
      <c r="C61" s="27" t="s">
        <v>328</v>
      </c>
      <c r="D61" t="s">
        <v>329</v>
      </c>
      <c r="E61" s="27"/>
      <c r="G61" t="s">
        <v>12</v>
      </c>
      <c r="H61" t="s">
        <v>12</v>
      </c>
    </row>
    <row r="62" spans="1:19" x14ac:dyDescent="0.3">
      <c r="A62" t="s">
        <v>371</v>
      </c>
      <c r="B62" s="11" t="s">
        <v>325</v>
      </c>
      <c r="C62" s="27" t="s">
        <v>330</v>
      </c>
      <c r="D62" t="s">
        <v>331</v>
      </c>
      <c r="E62" s="27"/>
      <c r="G62" t="s">
        <v>257</v>
      </c>
      <c r="H62" t="s">
        <v>257</v>
      </c>
      <c r="I62" t="s">
        <v>12</v>
      </c>
    </row>
    <row r="63" spans="1:19" x14ac:dyDescent="0.3">
      <c r="A63" t="s">
        <v>371</v>
      </c>
      <c r="B63" s="11" t="s">
        <v>325</v>
      </c>
      <c r="C63" s="27" t="s">
        <v>332</v>
      </c>
      <c r="D63" t="s">
        <v>333</v>
      </c>
      <c r="E63" s="27"/>
      <c r="F63" t="s">
        <v>12</v>
      </c>
      <c r="G63" t="s">
        <v>258</v>
      </c>
      <c r="H63" t="s">
        <v>259</v>
      </c>
      <c r="I63" t="s">
        <v>253</v>
      </c>
      <c r="J63" t="s">
        <v>12</v>
      </c>
      <c r="K63" t="s">
        <v>12</v>
      </c>
    </row>
    <row r="64" spans="1:19" x14ac:dyDescent="0.3">
      <c r="A64" t="s">
        <v>373</v>
      </c>
      <c r="B64" t="s">
        <v>374</v>
      </c>
      <c r="C64" t="s">
        <v>375</v>
      </c>
      <c r="D64" t="s">
        <v>376</v>
      </c>
      <c r="F64" t="s">
        <v>263</v>
      </c>
      <c r="G64" t="s">
        <v>259</v>
      </c>
      <c r="I64" t="s">
        <v>254</v>
      </c>
      <c r="J64" t="s">
        <v>260</v>
      </c>
      <c r="K64" t="s">
        <v>260</v>
      </c>
    </row>
    <row r="65" spans="1:17" x14ac:dyDescent="0.3">
      <c r="A65" t="s">
        <v>373</v>
      </c>
      <c r="B65" t="s">
        <v>374</v>
      </c>
      <c r="C65" t="s">
        <v>375</v>
      </c>
      <c r="D65" t="s">
        <v>377</v>
      </c>
      <c r="F65" t="s">
        <v>264</v>
      </c>
      <c r="I65" t="s">
        <v>255</v>
      </c>
      <c r="J65" t="s">
        <v>261</v>
      </c>
      <c r="K65" t="s">
        <v>262</v>
      </c>
    </row>
    <row r="66" spans="1:17" x14ac:dyDescent="0.3">
      <c r="F66" t="s">
        <v>265</v>
      </c>
      <c r="I66" t="s">
        <v>256</v>
      </c>
      <c r="J66" t="s">
        <v>262</v>
      </c>
      <c r="N66" t="s">
        <v>380</v>
      </c>
      <c r="Q66" s="30" t="s">
        <v>12</v>
      </c>
    </row>
    <row r="67" spans="1:17" x14ac:dyDescent="0.3">
      <c r="C67" t="s">
        <v>12</v>
      </c>
      <c r="E67" t="s">
        <v>12</v>
      </c>
      <c r="G67" t="s">
        <v>12</v>
      </c>
      <c r="I67" t="s">
        <v>12</v>
      </c>
      <c r="N67" t="s">
        <v>12</v>
      </c>
      <c r="Q67" s="3" t="s">
        <v>313</v>
      </c>
    </row>
    <row r="68" spans="1:17" x14ac:dyDescent="0.3">
      <c r="C68" t="s">
        <v>173</v>
      </c>
      <c r="E68" t="s">
        <v>173</v>
      </c>
      <c r="G68" t="s">
        <v>173</v>
      </c>
      <c r="I68" t="s">
        <v>253</v>
      </c>
      <c r="N68" t="s">
        <v>313</v>
      </c>
      <c r="Q68" s="2" t="s">
        <v>379</v>
      </c>
    </row>
    <row r="69" spans="1:17" x14ac:dyDescent="0.3">
      <c r="C69" t="s">
        <v>214</v>
      </c>
      <c r="E69" t="s">
        <v>214</v>
      </c>
      <c r="F69" t="s">
        <v>12</v>
      </c>
      <c r="G69" t="s">
        <v>214</v>
      </c>
      <c r="I69" t="s">
        <v>254</v>
      </c>
      <c r="N69" t="s">
        <v>379</v>
      </c>
      <c r="Q69" s="3" t="s">
        <v>325</v>
      </c>
    </row>
    <row r="70" spans="1:17" x14ac:dyDescent="0.3">
      <c r="C70" t="s">
        <v>251</v>
      </c>
      <c r="E70" t="s">
        <v>251</v>
      </c>
      <c r="F70" t="s">
        <v>263</v>
      </c>
      <c r="G70" t="s">
        <v>252</v>
      </c>
      <c r="H70" t="s">
        <v>12</v>
      </c>
      <c r="I70" t="s">
        <v>255</v>
      </c>
      <c r="N70" t="s">
        <v>325</v>
      </c>
      <c r="Q70" s="5" t="s">
        <v>378</v>
      </c>
    </row>
    <row r="71" spans="1:17" x14ac:dyDescent="0.3">
      <c r="C71" t="s">
        <v>252</v>
      </c>
      <c r="E71" t="s">
        <v>252</v>
      </c>
      <c r="F71" t="s">
        <v>264</v>
      </c>
      <c r="G71" t="s">
        <v>218</v>
      </c>
      <c r="H71" t="s">
        <v>266</v>
      </c>
    </row>
    <row r="72" spans="1:17" x14ac:dyDescent="0.3">
      <c r="E72" t="s">
        <v>218</v>
      </c>
      <c r="H72" t="s">
        <v>267</v>
      </c>
    </row>
    <row r="73" spans="1:17" x14ac:dyDescent="0.3">
      <c r="H73" t="s">
        <v>268</v>
      </c>
      <c r="I73" t="s">
        <v>12</v>
      </c>
      <c r="J73" s="1"/>
    </row>
    <row r="74" spans="1:17" x14ac:dyDescent="0.3">
      <c r="I74" t="s">
        <v>253</v>
      </c>
    </row>
    <row r="75" spans="1:17" x14ac:dyDescent="0.3">
      <c r="G75" s="1" t="s">
        <v>12</v>
      </c>
      <c r="I75" t="s">
        <v>254</v>
      </c>
    </row>
    <row r="76" spans="1:17" x14ac:dyDescent="0.3">
      <c r="G76" s="1" t="s">
        <v>266</v>
      </c>
      <c r="I76" t="s">
        <v>256</v>
      </c>
    </row>
    <row r="77" spans="1:17" x14ac:dyDescent="0.3">
      <c r="B77" s="17" t="s">
        <v>269</v>
      </c>
      <c r="G77" s="1" t="s">
        <v>267</v>
      </c>
    </row>
    <row r="79" spans="1:17" x14ac:dyDescent="0.3">
      <c r="B79" t="s">
        <v>369</v>
      </c>
      <c r="C79" t="s">
        <v>310</v>
      </c>
      <c r="D79" t="s">
        <v>37</v>
      </c>
      <c r="E79" t="s">
        <v>38</v>
      </c>
    </row>
    <row r="80" spans="1:17" x14ac:dyDescent="0.3">
      <c r="B80" t="s">
        <v>371</v>
      </c>
      <c r="C80" s="11" t="s">
        <v>313</v>
      </c>
      <c r="D80" t="s">
        <v>229</v>
      </c>
      <c r="E80" t="s">
        <v>275</v>
      </c>
    </row>
    <row r="81" spans="2:25" x14ac:dyDescent="0.3">
      <c r="B81" t="s">
        <v>371</v>
      </c>
      <c r="C81" s="11" t="s">
        <v>313</v>
      </c>
      <c r="D81" t="s">
        <v>229</v>
      </c>
      <c r="E81" t="s">
        <v>282</v>
      </c>
      <c r="G81" t="s">
        <v>369</v>
      </c>
      <c r="H81" t="s">
        <v>310</v>
      </c>
      <c r="I81" t="s">
        <v>37</v>
      </c>
      <c r="J81" t="s">
        <v>38</v>
      </c>
    </row>
    <row r="82" spans="2:25" x14ac:dyDescent="0.3">
      <c r="B82" t="s">
        <v>371</v>
      </c>
      <c r="C82" s="11" t="s">
        <v>313</v>
      </c>
      <c r="D82" t="s">
        <v>271</v>
      </c>
      <c r="E82" t="s">
        <v>280</v>
      </c>
      <c r="G82" t="s">
        <v>371</v>
      </c>
      <c r="H82" s="11" t="s">
        <v>313</v>
      </c>
      <c r="I82" t="s">
        <v>229</v>
      </c>
      <c r="J82" t="s">
        <v>275</v>
      </c>
    </row>
    <row r="83" spans="2:25" x14ac:dyDescent="0.3">
      <c r="B83" t="s">
        <v>371</v>
      </c>
      <c r="C83" s="11" t="s">
        <v>313</v>
      </c>
      <c r="D83" t="s">
        <v>270</v>
      </c>
      <c r="E83" t="s">
        <v>278</v>
      </c>
      <c r="G83" t="s">
        <v>371</v>
      </c>
      <c r="H83" s="11" t="s">
        <v>313</v>
      </c>
      <c r="I83" t="s">
        <v>229</v>
      </c>
      <c r="J83" t="s">
        <v>282</v>
      </c>
    </row>
    <row r="84" spans="2:25" x14ac:dyDescent="0.3">
      <c r="B84" t="s">
        <v>371</v>
      </c>
      <c r="C84" s="11" t="s">
        <v>313</v>
      </c>
      <c r="D84" t="s">
        <v>271</v>
      </c>
      <c r="E84" t="s">
        <v>276</v>
      </c>
      <c r="G84" t="s">
        <v>371</v>
      </c>
      <c r="H84" s="11" t="s">
        <v>325</v>
      </c>
      <c r="I84" t="s">
        <v>229</v>
      </c>
      <c r="J84" t="s">
        <v>272</v>
      </c>
    </row>
    <row r="85" spans="2:25" x14ac:dyDescent="0.3">
      <c r="B85" t="s">
        <v>371</v>
      </c>
      <c r="C85" s="11" t="s">
        <v>325</v>
      </c>
      <c r="D85" t="s">
        <v>229</v>
      </c>
      <c r="E85" t="s">
        <v>272</v>
      </c>
      <c r="G85" t="s">
        <v>371</v>
      </c>
      <c r="H85" s="11" t="s">
        <v>325</v>
      </c>
      <c r="I85" t="s">
        <v>229</v>
      </c>
      <c r="J85" t="s">
        <v>273</v>
      </c>
    </row>
    <row r="86" spans="2:25" x14ac:dyDescent="0.3">
      <c r="B86" t="s">
        <v>371</v>
      </c>
      <c r="C86" s="11" t="s">
        <v>325</v>
      </c>
      <c r="D86" t="s">
        <v>229</v>
      </c>
      <c r="E86" t="s">
        <v>273</v>
      </c>
    </row>
    <row r="87" spans="2:25" x14ac:dyDescent="0.3">
      <c r="B87" t="s">
        <v>371</v>
      </c>
      <c r="C87" s="11" t="s">
        <v>325</v>
      </c>
      <c r="D87" t="s">
        <v>270</v>
      </c>
      <c r="E87" t="s">
        <v>277</v>
      </c>
    </row>
    <row r="88" spans="2:25" x14ac:dyDescent="0.3">
      <c r="B88" t="s">
        <v>371</v>
      </c>
      <c r="C88" s="11" t="s">
        <v>325</v>
      </c>
      <c r="D88" t="s">
        <v>271</v>
      </c>
      <c r="E88" t="s">
        <v>281</v>
      </c>
    </row>
    <row r="89" spans="2:25" x14ac:dyDescent="0.3">
      <c r="B89" t="s">
        <v>373</v>
      </c>
      <c r="C89" t="s">
        <v>374</v>
      </c>
      <c r="D89" t="s">
        <v>274</v>
      </c>
      <c r="E89" t="s">
        <v>283</v>
      </c>
      <c r="H89" t="s">
        <v>12</v>
      </c>
    </row>
    <row r="90" spans="2:25" x14ac:dyDescent="0.3">
      <c r="H90" t="s">
        <v>229</v>
      </c>
      <c r="I90" t="s">
        <v>12</v>
      </c>
    </row>
    <row r="91" spans="2:25" x14ac:dyDescent="0.3">
      <c r="F91" t="s">
        <v>12</v>
      </c>
      <c r="H91" t="s">
        <v>270</v>
      </c>
      <c r="I91" t="s">
        <v>229</v>
      </c>
    </row>
    <row r="92" spans="2:25" x14ac:dyDescent="0.3">
      <c r="F92" t="s">
        <v>281</v>
      </c>
      <c r="H92" t="s">
        <v>284</v>
      </c>
      <c r="I92" t="s">
        <v>284</v>
      </c>
    </row>
    <row r="93" spans="2:25" x14ac:dyDescent="0.3">
      <c r="F93" t="s">
        <v>279</v>
      </c>
    </row>
    <row r="94" spans="2:25" x14ac:dyDescent="0.3">
      <c r="F94" t="s">
        <v>285</v>
      </c>
    </row>
    <row r="95" spans="2:25" x14ac:dyDescent="0.3">
      <c r="D95" t="s">
        <v>12</v>
      </c>
      <c r="O95" s="4" t="s">
        <v>12</v>
      </c>
      <c r="P95" s="4" t="s">
        <v>516</v>
      </c>
      <c r="Q95" s="4" t="s">
        <v>517</v>
      </c>
      <c r="R95" s="4" t="s">
        <v>518</v>
      </c>
      <c r="S95" s="4" t="s">
        <v>519</v>
      </c>
      <c r="U95" t="s">
        <v>522</v>
      </c>
      <c r="V95" t="s">
        <v>523</v>
      </c>
      <c r="W95" t="s">
        <v>524</v>
      </c>
      <c r="X95" t="s">
        <v>525</v>
      </c>
      <c r="Y95" t="s">
        <v>526</v>
      </c>
    </row>
    <row r="96" spans="2:25" x14ac:dyDescent="0.3">
      <c r="D96" t="s">
        <v>281</v>
      </c>
      <c r="O96" s="2" t="s">
        <v>348</v>
      </c>
      <c r="P96" s="2" t="s">
        <v>515</v>
      </c>
      <c r="Q96" s="2" t="s">
        <v>348</v>
      </c>
      <c r="R96" s="2" t="s">
        <v>114</v>
      </c>
      <c r="S96" s="2" t="s">
        <v>349</v>
      </c>
      <c r="U96" t="s">
        <v>527</v>
      </c>
      <c r="V96" s="36">
        <v>43713</v>
      </c>
      <c r="W96" t="s">
        <v>528</v>
      </c>
      <c r="X96" s="36">
        <v>43726</v>
      </c>
      <c r="Y96" s="37">
        <v>0.70833333333333337</v>
      </c>
    </row>
    <row r="97" spans="4:25" x14ac:dyDescent="0.3">
      <c r="D97" t="s">
        <v>279</v>
      </c>
      <c r="O97" s="2" t="s">
        <v>348</v>
      </c>
      <c r="P97" s="2" t="s">
        <v>515</v>
      </c>
      <c r="Q97" s="2" t="s">
        <v>345</v>
      </c>
      <c r="R97" s="2" t="s">
        <v>346</v>
      </c>
      <c r="S97" s="2" t="s">
        <v>351</v>
      </c>
      <c r="U97" t="s">
        <v>531</v>
      </c>
      <c r="V97" s="36">
        <v>43688</v>
      </c>
      <c r="W97" t="s">
        <v>529</v>
      </c>
      <c r="X97" s="36">
        <v>43726</v>
      </c>
      <c r="Y97" s="37">
        <v>0.70833333333333337</v>
      </c>
    </row>
    <row r="98" spans="4:25" x14ac:dyDescent="0.3">
      <c r="O98" s="5" t="s">
        <v>348</v>
      </c>
      <c r="P98" s="5" t="s">
        <v>515</v>
      </c>
      <c r="Q98" s="5" t="s">
        <v>345</v>
      </c>
      <c r="R98" s="5" t="s">
        <v>114</v>
      </c>
      <c r="S98" s="5" t="s">
        <v>351</v>
      </c>
      <c r="U98" t="s">
        <v>532</v>
      </c>
      <c r="V98" s="36">
        <v>43716</v>
      </c>
      <c r="W98" t="s">
        <v>530</v>
      </c>
      <c r="X98" s="36">
        <v>43726</v>
      </c>
      <c r="Y98" s="37">
        <v>0.70833333333333337</v>
      </c>
    </row>
    <row r="99" spans="4:25" x14ac:dyDescent="0.3">
      <c r="O99" s="5" t="s">
        <v>348</v>
      </c>
      <c r="P99" s="5" t="s">
        <v>515</v>
      </c>
      <c r="Q99" s="2" t="s">
        <v>348</v>
      </c>
      <c r="R99" s="2" t="s">
        <v>346</v>
      </c>
      <c r="S99" s="2" t="s">
        <v>347</v>
      </c>
      <c r="U99" t="s">
        <v>533</v>
      </c>
      <c r="V99" s="36">
        <v>43655</v>
      </c>
      <c r="W99" t="s">
        <v>530</v>
      </c>
      <c r="X99" s="36">
        <v>43726</v>
      </c>
      <c r="Y99" s="37">
        <v>0.70833333333333337</v>
      </c>
    </row>
    <row r="100" spans="4:25" x14ac:dyDescent="0.3">
      <c r="I100" s="6" t="s">
        <v>520</v>
      </c>
      <c r="J100" s="6" t="s">
        <v>521</v>
      </c>
      <c r="K100" s="6" t="s">
        <v>342</v>
      </c>
      <c r="L100" s="6" t="s">
        <v>343</v>
      </c>
      <c r="M100" s="6" t="s">
        <v>344</v>
      </c>
      <c r="O100" s="5" t="s">
        <v>348</v>
      </c>
      <c r="P100" s="5" t="s">
        <v>515</v>
      </c>
      <c r="Q100" s="2" t="s">
        <v>348</v>
      </c>
      <c r="R100" s="2" t="s">
        <v>114</v>
      </c>
      <c r="S100" s="5" t="s">
        <v>347</v>
      </c>
      <c r="U100" t="s">
        <v>534</v>
      </c>
      <c r="V100" s="36">
        <v>43723</v>
      </c>
      <c r="W100" t="s">
        <v>535</v>
      </c>
      <c r="X100" s="36">
        <v>43726</v>
      </c>
      <c r="Y100" s="37">
        <v>0.70833333333333337</v>
      </c>
    </row>
    <row r="101" spans="4:25" x14ac:dyDescent="0.3">
      <c r="I101" t="s">
        <v>345</v>
      </c>
      <c r="J101" t="s">
        <v>514</v>
      </c>
      <c r="K101" t="s">
        <v>345</v>
      </c>
      <c r="L101" t="s">
        <v>346</v>
      </c>
      <c r="M101" t="s">
        <v>347</v>
      </c>
      <c r="O101" s="5" t="s">
        <v>348</v>
      </c>
      <c r="P101" s="5" t="s">
        <v>515</v>
      </c>
      <c r="Q101" s="2" t="s">
        <v>348</v>
      </c>
      <c r="R101" s="5" t="s">
        <v>114</v>
      </c>
      <c r="S101" s="2" t="s">
        <v>351</v>
      </c>
    </row>
    <row r="102" spans="4:25" x14ac:dyDescent="0.3">
      <c r="I102" t="s">
        <v>348</v>
      </c>
      <c r="J102" t="s">
        <v>515</v>
      </c>
      <c r="K102" t="s">
        <v>348</v>
      </c>
      <c r="L102" t="s">
        <v>114</v>
      </c>
      <c r="M102" t="s">
        <v>349</v>
      </c>
    </row>
    <row r="103" spans="4:25" x14ac:dyDescent="0.3">
      <c r="I103" t="s">
        <v>350</v>
      </c>
      <c r="J103" t="s">
        <v>514</v>
      </c>
      <c r="K103" t="s">
        <v>348</v>
      </c>
      <c r="L103" t="s">
        <v>114</v>
      </c>
      <c r="M103" t="s">
        <v>349</v>
      </c>
    </row>
    <row r="104" spans="4:25" x14ac:dyDescent="0.3">
      <c r="I104" t="s">
        <v>348</v>
      </c>
      <c r="J104" t="s">
        <v>514</v>
      </c>
      <c r="K104" t="s">
        <v>345</v>
      </c>
      <c r="L104" t="s">
        <v>346</v>
      </c>
      <c r="M104" t="s">
        <v>351</v>
      </c>
    </row>
    <row r="105" spans="4:25" x14ac:dyDescent="0.3">
      <c r="I105" t="s">
        <v>345</v>
      </c>
      <c r="J105" t="s">
        <v>514</v>
      </c>
      <c r="K105" t="s">
        <v>348</v>
      </c>
      <c r="L105" t="s">
        <v>346</v>
      </c>
      <c r="M105" t="s">
        <v>347</v>
      </c>
    </row>
    <row r="106" spans="4:25" x14ac:dyDescent="0.3">
      <c r="I106" t="s">
        <v>348</v>
      </c>
      <c r="J106" t="s">
        <v>515</v>
      </c>
      <c r="K106" t="s">
        <v>345</v>
      </c>
      <c r="L106" t="s">
        <v>114</v>
      </c>
      <c r="M106" t="s">
        <v>351</v>
      </c>
    </row>
    <row r="107" spans="4:25" x14ac:dyDescent="0.3">
      <c r="I107" s="5" t="s">
        <v>348</v>
      </c>
      <c r="J107" s="5" t="s">
        <v>515</v>
      </c>
      <c r="K107" s="2" t="s">
        <v>348</v>
      </c>
      <c r="L107" s="2" t="s">
        <v>346</v>
      </c>
      <c r="M107" s="2" t="s">
        <v>347</v>
      </c>
    </row>
    <row r="108" spans="4:25" x14ac:dyDescent="0.3">
      <c r="I108" s="5" t="s">
        <v>348</v>
      </c>
      <c r="J108" s="5" t="s">
        <v>515</v>
      </c>
      <c r="K108" s="5" t="s">
        <v>348</v>
      </c>
      <c r="L108" s="5" t="s">
        <v>114</v>
      </c>
      <c r="M108" s="5" t="s">
        <v>347</v>
      </c>
    </row>
    <row r="109" spans="4:25" x14ac:dyDescent="0.3">
      <c r="J109" t="s">
        <v>352</v>
      </c>
    </row>
    <row r="111" spans="4:25" x14ac:dyDescent="0.3">
      <c r="J111" t="s">
        <v>353</v>
      </c>
    </row>
    <row r="112" spans="4:25" x14ac:dyDescent="0.3">
      <c r="J112" t="s">
        <v>354</v>
      </c>
    </row>
    <row r="113" spans="10:10" x14ac:dyDescent="0.3">
      <c r="J113" t="s">
        <v>355</v>
      </c>
    </row>
    <row r="114" spans="10:10" x14ac:dyDescent="0.3">
      <c r="J114" t="s">
        <v>356</v>
      </c>
    </row>
    <row r="115" spans="10:10" x14ac:dyDescent="0.3">
      <c r="J115" t="s">
        <v>357</v>
      </c>
    </row>
    <row r="116" spans="10:10" x14ac:dyDescent="0.3">
      <c r="J116" t="s">
        <v>358</v>
      </c>
    </row>
    <row r="117" spans="10:10" x14ac:dyDescent="0.3">
      <c r="J117" t="s">
        <v>359</v>
      </c>
    </row>
    <row r="118" spans="10:10" x14ac:dyDescent="0.3">
      <c r="J118" t="s">
        <v>360</v>
      </c>
    </row>
    <row r="119" spans="10:10" x14ac:dyDescent="0.3">
      <c r="J119" t="s">
        <v>361</v>
      </c>
    </row>
    <row r="120" spans="10:10" x14ac:dyDescent="0.3">
      <c r="J120" t="s">
        <v>362</v>
      </c>
    </row>
    <row r="121" spans="10:10" x14ac:dyDescent="0.3">
      <c r="J121" t="s">
        <v>363</v>
      </c>
    </row>
  </sheetData>
  <dataValidations count="1">
    <dataValidation type="list" allowBlank="1" showInputMessage="1" showErrorMessage="1" sqref="D33:D36 D43:D48" xr:uid="{A619B7E0-ACA7-475C-8EE8-033C5A9DACC5}">
      <formula1>$D$23:$D$24</formula1>
    </dataValidation>
  </dataValidations>
  <pageMargins left="0.7" right="0.7" top="0.75" bottom="0.75" header="0.3" footer="0.3"/>
  <pageSetup paperSize="9" orientation="portrait" horizontalDpi="0" verticalDpi="0" r:id="rId1"/>
  <tableParts count="4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D74EE-0B87-4A6F-8C62-D295858D8C83}">
  <sheetPr codeName="Sheet42"/>
  <dimension ref="A1:D15"/>
  <sheetViews>
    <sheetView workbookViewId="0">
      <selection activeCell="A2" sqref="A2:D15"/>
    </sheetView>
  </sheetViews>
  <sheetFormatPr baseColWidth="10" defaultColWidth="9.33203125" defaultRowHeight="10.199999999999999" x14ac:dyDescent="0.2"/>
  <cols>
    <col min="1" max="1" width="43.88671875" style="39" bestFit="1" customWidth="1"/>
    <col min="2" max="2" width="32.109375" style="39" bestFit="1" customWidth="1"/>
    <col min="3" max="3" width="28.109375" style="39" bestFit="1" customWidth="1"/>
    <col min="4" max="4" width="25.88671875" style="39" bestFit="1" customWidth="1"/>
    <col min="5" max="16384" width="9.33203125" style="39"/>
  </cols>
  <sheetData>
    <row r="1" spans="1:4" x14ac:dyDescent="0.2">
      <c r="A1" s="39" t="s">
        <v>370</v>
      </c>
      <c r="B1" s="39" t="s">
        <v>310</v>
      </c>
      <c r="C1" s="39" t="s">
        <v>311</v>
      </c>
      <c r="D1" s="39" t="s">
        <v>312</v>
      </c>
    </row>
    <row r="2" spans="1:4" x14ac:dyDescent="0.2">
      <c r="A2" s="39" t="s">
        <v>371</v>
      </c>
      <c r="B2" s="39" t="s">
        <v>313</v>
      </c>
      <c r="C2" s="39" t="s">
        <v>314</v>
      </c>
      <c r="D2" s="39" t="s">
        <v>315</v>
      </c>
    </row>
    <row r="3" spans="1:4" x14ac:dyDescent="0.2">
      <c r="A3" s="39" t="s">
        <v>371</v>
      </c>
      <c r="B3" s="39" t="s">
        <v>313</v>
      </c>
      <c r="C3" s="39" t="s">
        <v>314</v>
      </c>
      <c r="D3" s="39" t="s">
        <v>316</v>
      </c>
    </row>
    <row r="4" spans="1:4" x14ac:dyDescent="0.2">
      <c r="A4" s="39" t="s">
        <v>371</v>
      </c>
      <c r="B4" s="39" t="s">
        <v>313</v>
      </c>
      <c r="C4" s="39" t="s">
        <v>314</v>
      </c>
      <c r="D4" s="39" t="s">
        <v>317</v>
      </c>
    </row>
    <row r="5" spans="1:4" x14ac:dyDescent="0.2">
      <c r="A5" s="39" t="s">
        <v>371</v>
      </c>
      <c r="B5" s="39" t="s">
        <v>313</v>
      </c>
      <c r="C5" s="39" t="s">
        <v>314</v>
      </c>
      <c r="D5" s="39" t="s">
        <v>318</v>
      </c>
    </row>
    <row r="6" spans="1:4" x14ac:dyDescent="0.2">
      <c r="A6" s="39" t="s">
        <v>371</v>
      </c>
      <c r="B6" s="39" t="s">
        <v>313</v>
      </c>
      <c r="C6" s="39" t="s">
        <v>314</v>
      </c>
      <c r="D6" s="39" t="s">
        <v>319</v>
      </c>
    </row>
    <row r="7" spans="1:4" x14ac:dyDescent="0.2">
      <c r="A7" s="39" t="s">
        <v>371</v>
      </c>
      <c r="B7" s="39" t="s">
        <v>313</v>
      </c>
      <c r="C7" s="39" t="s">
        <v>314</v>
      </c>
      <c r="D7" s="39" t="s">
        <v>320</v>
      </c>
    </row>
    <row r="8" spans="1:4" x14ac:dyDescent="0.2">
      <c r="A8" s="39" t="s">
        <v>372</v>
      </c>
      <c r="B8" s="39" t="s">
        <v>321</v>
      </c>
      <c r="C8" s="39" t="s">
        <v>322</v>
      </c>
      <c r="D8" s="39" t="s">
        <v>323</v>
      </c>
    </row>
    <row r="9" spans="1:4" x14ac:dyDescent="0.2">
      <c r="A9" s="39" t="s">
        <v>372</v>
      </c>
      <c r="B9" s="39" t="s">
        <v>321</v>
      </c>
      <c r="C9" s="39" t="s">
        <v>322</v>
      </c>
      <c r="D9" s="39" t="s">
        <v>324</v>
      </c>
    </row>
    <row r="10" spans="1:4" x14ac:dyDescent="0.2">
      <c r="A10" s="39" t="s">
        <v>371</v>
      </c>
      <c r="B10" s="39" t="s">
        <v>325</v>
      </c>
      <c r="C10" s="39" t="s">
        <v>326</v>
      </c>
      <c r="D10" s="39" t="s">
        <v>327</v>
      </c>
    </row>
    <row r="11" spans="1:4" x14ac:dyDescent="0.2">
      <c r="A11" s="39" t="s">
        <v>371</v>
      </c>
      <c r="B11" s="39" t="s">
        <v>325</v>
      </c>
      <c r="C11" s="39" t="s">
        <v>328</v>
      </c>
      <c r="D11" s="39" t="s">
        <v>329</v>
      </c>
    </row>
    <row r="12" spans="1:4" x14ac:dyDescent="0.2">
      <c r="A12" s="39" t="s">
        <v>371</v>
      </c>
      <c r="B12" s="39" t="s">
        <v>325</v>
      </c>
      <c r="C12" s="39" t="s">
        <v>330</v>
      </c>
      <c r="D12" s="39" t="s">
        <v>331</v>
      </c>
    </row>
    <row r="13" spans="1:4" x14ac:dyDescent="0.2">
      <c r="A13" s="39" t="s">
        <v>371</v>
      </c>
      <c r="B13" s="39" t="s">
        <v>325</v>
      </c>
      <c r="C13" s="39" t="s">
        <v>332</v>
      </c>
      <c r="D13" s="39" t="s">
        <v>333</v>
      </c>
    </row>
    <row r="14" spans="1:4" x14ac:dyDescent="0.2">
      <c r="A14" s="39" t="s">
        <v>373</v>
      </c>
      <c r="B14" s="39" t="s">
        <v>374</v>
      </c>
      <c r="C14" s="39" t="s">
        <v>375</v>
      </c>
      <c r="D14" s="39" t="s">
        <v>376</v>
      </c>
    </row>
    <row r="15" spans="1:4" x14ac:dyDescent="0.2">
      <c r="A15" s="39" t="s">
        <v>373</v>
      </c>
      <c r="B15" s="39" t="s">
        <v>374</v>
      </c>
      <c r="C15" s="39" t="s">
        <v>375</v>
      </c>
      <c r="D15" s="39" t="s">
        <v>377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D8AF1-4537-451B-A1BF-24A9BD95E2CC}">
  <sheetPr codeName="Sheet43"/>
  <dimension ref="A1:A9"/>
  <sheetViews>
    <sheetView workbookViewId="0">
      <selection activeCell="A2" sqref="A2:A9"/>
    </sheetView>
  </sheetViews>
  <sheetFormatPr baseColWidth="10" defaultColWidth="8.88671875" defaultRowHeight="14.4" x14ac:dyDescent="0.3"/>
  <cols>
    <col min="1" max="1" width="53.44140625" bestFit="1" customWidth="1"/>
  </cols>
  <sheetData>
    <row r="1" spans="1:1" x14ac:dyDescent="0.3">
      <c r="A1" s="61" t="s">
        <v>370</v>
      </c>
    </row>
    <row r="2" spans="1:1" x14ac:dyDescent="0.3">
      <c r="A2" s="60" t="s">
        <v>371</v>
      </c>
    </row>
    <row r="3" spans="1:1" x14ac:dyDescent="0.3">
      <c r="A3" s="60" t="s">
        <v>372</v>
      </c>
    </row>
    <row r="4" spans="1:1" x14ac:dyDescent="0.3">
      <c r="A4" s="60" t="s">
        <v>373</v>
      </c>
    </row>
    <row r="5" spans="1:1" x14ac:dyDescent="0.3">
      <c r="A5" s="60" t="s">
        <v>631</v>
      </c>
    </row>
    <row r="6" spans="1:1" x14ac:dyDescent="0.3">
      <c r="A6" s="60" t="s">
        <v>632</v>
      </c>
    </row>
    <row r="7" spans="1:1" x14ac:dyDescent="0.3">
      <c r="A7" s="60" t="s">
        <v>633</v>
      </c>
    </row>
    <row r="8" spans="1:1" x14ac:dyDescent="0.3">
      <c r="A8" s="60" t="s">
        <v>634</v>
      </c>
    </row>
    <row r="9" spans="1:1" x14ac:dyDescent="0.3">
      <c r="A9" s="60" t="s">
        <v>635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E8A38-54DF-4A24-98B4-0A4EA4799428}">
  <sheetPr codeName="Sheet45"/>
  <dimension ref="A1:A5"/>
  <sheetViews>
    <sheetView workbookViewId="0">
      <selection activeCell="A2" sqref="A2:A5"/>
    </sheetView>
  </sheetViews>
  <sheetFormatPr baseColWidth="10" defaultColWidth="8.88671875" defaultRowHeight="14.4" x14ac:dyDescent="0.3"/>
  <cols>
    <col min="1" max="1" width="41.6640625" bestFit="1" customWidth="1"/>
  </cols>
  <sheetData>
    <row r="1" spans="1:1" x14ac:dyDescent="0.3">
      <c r="A1" t="s">
        <v>310</v>
      </c>
    </row>
    <row r="2" spans="1:1" x14ac:dyDescent="0.3">
      <c r="A2" t="s">
        <v>313</v>
      </c>
    </row>
    <row r="3" spans="1:1" x14ac:dyDescent="0.3">
      <c r="A3" t="s">
        <v>321</v>
      </c>
    </row>
    <row r="4" spans="1:1" x14ac:dyDescent="0.3">
      <c r="A4" t="s">
        <v>325</v>
      </c>
    </row>
    <row r="5" spans="1:1" x14ac:dyDescent="0.3">
      <c r="A5" t="s">
        <v>374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A2F7F-A840-4A61-8DEA-6B6CF75B7888}">
  <sheetPr codeName="Sheet46"/>
  <dimension ref="A1:A4"/>
  <sheetViews>
    <sheetView workbookViewId="0">
      <selection activeCell="A2" sqref="A2:A4"/>
    </sheetView>
  </sheetViews>
  <sheetFormatPr baseColWidth="10" defaultColWidth="8.88671875" defaultRowHeight="14.4" x14ac:dyDescent="0.3"/>
  <cols>
    <col min="1" max="1" width="9.5546875" customWidth="1"/>
  </cols>
  <sheetData>
    <row r="1" spans="1:1" x14ac:dyDescent="0.3">
      <c r="A1" t="s">
        <v>310</v>
      </c>
    </row>
    <row r="2" spans="1:1" x14ac:dyDescent="0.3">
      <c r="A2" t="s">
        <v>313</v>
      </c>
    </row>
    <row r="3" spans="1:1" x14ac:dyDescent="0.3">
      <c r="A3" t="s">
        <v>321</v>
      </c>
    </row>
    <row r="4" spans="1:1" x14ac:dyDescent="0.3">
      <c r="A4" t="s">
        <v>325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5AA02-9B9F-4DA5-B0F9-B9159092EB7C}">
  <sheetPr codeName="Sheet47"/>
  <dimension ref="A1:A8"/>
  <sheetViews>
    <sheetView workbookViewId="0">
      <selection activeCell="A2" sqref="A2:A8"/>
    </sheetView>
  </sheetViews>
  <sheetFormatPr baseColWidth="10" defaultColWidth="8.88671875" defaultRowHeight="14.4" x14ac:dyDescent="0.3"/>
  <cols>
    <col min="1" max="1" width="28.109375" bestFit="1" customWidth="1"/>
  </cols>
  <sheetData>
    <row r="1" spans="1:1" x14ac:dyDescent="0.3">
      <c r="A1" s="50" t="s">
        <v>311</v>
      </c>
    </row>
    <row r="2" spans="1:1" x14ac:dyDescent="0.3">
      <c r="A2" s="45" t="s">
        <v>314</v>
      </c>
    </row>
    <row r="3" spans="1:1" x14ac:dyDescent="0.3">
      <c r="A3" s="45" t="s">
        <v>322</v>
      </c>
    </row>
    <row r="4" spans="1:1" x14ac:dyDescent="0.3">
      <c r="A4" s="45" t="s">
        <v>326</v>
      </c>
    </row>
    <row r="5" spans="1:1" x14ac:dyDescent="0.3">
      <c r="A5" s="48" t="s">
        <v>328</v>
      </c>
    </row>
    <row r="6" spans="1:1" x14ac:dyDescent="0.3">
      <c r="A6" s="45" t="s">
        <v>330</v>
      </c>
    </row>
    <row r="7" spans="1:1" x14ac:dyDescent="0.3">
      <c r="A7" s="48" t="s">
        <v>332</v>
      </c>
    </row>
    <row r="8" spans="1:1" x14ac:dyDescent="0.3">
      <c r="A8" s="52" t="s">
        <v>375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E8F63-1726-48AB-9274-DAEF3892A091}">
  <sheetPr codeName="Sheet48"/>
  <dimension ref="A1:A5"/>
  <sheetViews>
    <sheetView workbookViewId="0">
      <selection activeCell="A2" sqref="A2:A5"/>
    </sheetView>
  </sheetViews>
  <sheetFormatPr baseColWidth="10" defaultColWidth="8.88671875" defaultRowHeight="14.4" x14ac:dyDescent="0.3"/>
  <sheetData>
    <row r="1" spans="1:1" x14ac:dyDescent="0.3">
      <c r="A1" s="50" t="s">
        <v>311</v>
      </c>
    </row>
    <row r="2" spans="1:1" x14ac:dyDescent="0.3">
      <c r="A2" s="45" t="s">
        <v>314</v>
      </c>
    </row>
    <row r="3" spans="1:1" x14ac:dyDescent="0.3">
      <c r="A3" s="45" t="s">
        <v>322</v>
      </c>
    </row>
    <row r="4" spans="1:1" x14ac:dyDescent="0.3">
      <c r="A4" s="45" t="s">
        <v>326</v>
      </c>
    </row>
    <row r="5" spans="1:1" x14ac:dyDescent="0.3">
      <c r="A5" s="62" t="s">
        <v>328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62C2-3D6E-48BC-93C2-06122F2E1EBE}">
  <sheetPr codeName="Sheet50"/>
  <dimension ref="A1:A15"/>
  <sheetViews>
    <sheetView workbookViewId="0">
      <selection activeCell="A2" sqref="A2:A15"/>
    </sheetView>
  </sheetViews>
  <sheetFormatPr baseColWidth="10" defaultColWidth="8.88671875" defaultRowHeight="14.4" x14ac:dyDescent="0.3"/>
  <cols>
    <col min="1" max="1" width="25.88671875" bestFit="1" customWidth="1"/>
  </cols>
  <sheetData>
    <row r="1" spans="1:1" x14ac:dyDescent="0.3">
      <c r="A1" s="50" t="s">
        <v>312</v>
      </c>
    </row>
    <row r="2" spans="1:1" x14ac:dyDescent="0.3">
      <c r="A2" s="45" t="s">
        <v>315</v>
      </c>
    </row>
    <row r="3" spans="1:1" x14ac:dyDescent="0.3">
      <c r="A3" s="48" t="s">
        <v>316</v>
      </c>
    </row>
    <row r="4" spans="1:1" x14ac:dyDescent="0.3">
      <c r="A4" s="45" t="s">
        <v>317</v>
      </c>
    </row>
    <row r="5" spans="1:1" x14ac:dyDescent="0.3">
      <c r="A5" s="48" t="s">
        <v>318</v>
      </c>
    </row>
    <row r="6" spans="1:1" x14ac:dyDescent="0.3">
      <c r="A6" s="45" t="s">
        <v>319</v>
      </c>
    </row>
    <row r="7" spans="1:1" x14ac:dyDescent="0.3">
      <c r="A7" s="48" t="s">
        <v>320</v>
      </c>
    </row>
    <row r="8" spans="1:1" x14ac:dyDescent="0.3">
      <c r="A8" s="45" t="s">
        <v>323</v>
      </c>
    </row>
    <row r="9" spans="1:1" x14ac:dyDescent="0.3">
      <c r="A9" s="48" t="s">
        <v>324</v>
      </c>
    </row>
    <row r="10" spans="1:1" x14ac:dyDescent="0.3">
      <c r="A10" s="45" t="s">
        <v>327</v>
      </c>
    </row>
    <row r="11" spans="1:1" x14ac:dyDescent="0.3">
      <c r="A11" s="48" t="s">
        <v>329</v>
      </c>
    </row>
    <row r="12" spans="1:1" x14ac:dyDescent="0.3">
      <c r="A12" s="45" t="s">
        <v>331</v>
      </c>
    </row>
    <row r="13" spans="1:1" x14ac:dyDescent="0.3">
      <c r="A13" s="48" t="s">
        <v>333</v>
      </c>
    </row>
    <row r="14" spans="1:1" x14ac:dyDescent="0.3">
      <c r="A14" s="45" t="s">
        <v>376</v>
      </c>
    </row>
    <row r="15" spans="1:1" x14ac:dyDescent="0.3">
      <c r="A15" s="62" t="s">
        <v>377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EE128-1BDB-49D4-9D00-63A7FC4F937B}">
  <sheetPr codeName="Sheet51"/>
  <dimension ref="A1:A7"/>
  <sheetViews>
    <sheetView workbookViewId="0">
      <selection activeCell="M24" sqref="M24"/>
    </sheetView>
  </sheetViews>
  <sheetFormatPr baseColWidth="10" defaultColWidth="8.88671875" defaultRowHeight="14.4" x14ac:dyDescent="0.3"/>
  <cols>
    <col min="1" max="1" width="18.33203125" bestFit="1" customWidth="1"/>
  </cols>
  <sheetData>
    <row r="1" spans="1:1" x14ac:dyDescent="0.3">
      <c r="A1" s="50" t="s">
        <v>312</v>
      </c>
    </row>
    <row r="2" spans="1:1" x14ac:dyDescent="0.3">
      <c r="A2" s="45" t="s">
        <v>315</v>
      </c>
    </row>
    <row r="3" spans="1:1" x14ac:dyDescent="0.3">
      <c r="A3" s="48" t="s">
        <v>316</v>
      </c>
    </row>
    <row r="4" spans="1:1" x14ac:dyDescent="0.3">
      <c r="A4" s="45" t="s">
        <v>317</v>
      </c>
    </row>
    <row r="5" spans="1:1" x14ac:dyDescent="0.3">
      <c r="A5" s="48" t="s">
        <v>318</v>
      </c>
    </row>
    <row r="6" spans="1:1" x14ac:dyDescent="0.3">
      <c r="A6" s="45" t="s">
        <v>319</v>
      </c>
    </row>
    <row r="7" spans="1:1" x14ac:dyDescent="0.3">
      <c r="A7" s="62" t="s">
        <v>320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AT37"/>
  <sheetViews>
    <sheetView zoomScale="55" zoomScaleNormal="55" workbookViewId="0">
      <selection activeCell="L3" sqref="L3"/>
    </sheetView>
  </sheetViews>
  <sheetFormatPr baseColWidth="10" defaultColWidth="11.44140625" defaultRowHeight="14.4" x14ac:dyDescent="0.3"/>
  <cols>
    <col min="1" max="1" width="12" bestFit="1" customWidth="1"/>
    <col min="4" max="4" width="16.33203125" bestFit="1" customWidth="1"/>
    <col min="5" max="5" width="19.88671875" bestFit="1" customWidth="1"/>
    <col min="7" max="7" width="16.109375" customWidth="1"/>
    <col min="9" max="9" width="13" customWidth="1"/>
    <col min="10" max="10" width="37.33203125" bestFit="1" customWidth="1"/>
    <col min="11" max="11" width="20.88671875" bestFit="1" customWidth="1"/>
    <col min="12" max="12" width="20.88671875" customWidth="1"/>
    <col min="13" max="13" width="14.33203125" customWidth="1"/>
    <col min="14" max="14" width="17.109375" bestFit="1" customWidth="1"/>
    <col min="15" max="15" width="26.44140625" bestFit="1" customWidth="1"/>
    <col min="16" max="16" width="23.88671875" customWidth="1"/>
    <col min="18" max="18" width="16.5546875" customWidth="1"/>
    <col min="20" max="20" width="14.5546875" customWidth="1"/>
    <col min="21" max="21" width="6.44140625" customWidth="1"/>
    <col min="24" max="24" width="19.6640625" bestFit="1" customWidth="1"/>
    <col min="26" max="26" width="12.6640625" customWidth="1"/>
    <col min="27" max="27" width="11.33203125" bestFit="1" customWidth="1"/>
    <col min="29" max="29" width="14.88671875" bestFit="1" customWidth="1"/>
    <col min="30" max="30" width="21.33203125" bestFit="1" customWidth="1"/>
    <col min="31" max="31" width="12" customWidth="1"/>
    <col min="33" max="33" width="16.44140625" bestFit="1" customWidth="1"/>
    <col min="34" max="34" width="33.44140625" bestFit="1" customWidth="1"/>
    <col min="36" max="36" width="26.5546875" bestFit="1" customWidth="1"/>
    <col min="39" max="39" width="10.88671875" customWidth="1"/>
    <col min="41" max="41" width="46.5546875" bestFit="1" customWidth="1"/>
    <col min="42" max="42" width="14.44140625" customWidth="1"/>
    <col min="43" max="43" width="13.109375" customWidth="1"/>
    <col min="44" max="44" width="29" bestFit="1" customWidth="1"/>
    <col min="48" max="48" width="10.6640625" customWidth="1"/>
  </cols>
  <sheetData>
    <row r="2" spans="1:46" ht="15" thickBot="1" x14ac:dyDescent="0.35">
      <c r="A2" t="s">
        <v>30</v>
      </c>
      <c r="C2" s="73" t="s">
        <v>59</v>
      </c>
      <c r="D2" s="73"/>
      <c r="E2" s="73"/>
      <c r="F2" s="73"/>
      <c r="G2" s="73"/>
      <c r="H2" s="73"/>
      <c r="J2" s="73" t="s">
        <v>38</v>
      </c>
      <c r="K2" s="73"/>
      <c r="L2" s="38"/>
      <c r="N2" s="73" t="s">
        <v>180</v>
      </c>
      <c r="O2" s="73"/>
      <c r="P2" s="73"/>
      <c r="R2" s="73" t="s">
        <v>31</v>
      </c>
      <c r="S2" s="73"/>
      <c r="T2" s="73"/>
      <c r="U2" s="73"/>
      <c r="V2" s="73"/>
      <c r="W2" s="73"/>
      <c r="X2" s="73"/>
      <c r="Y2" s="73"/>
      <c r="Z2" s="73"/>
      <c r="AA2" s="73"/>
      <c r="AC2" s="72" t="s">
        <v>47</v>
      </c>
      <c r="AD2" s="72"/>
      <c r="AE2" s="72"/>
    </row>
    <row r="3" spans="1:46" ht="15" thickBot="1" x14ac:dyDescent="0.35">
      <c r="C3" t="s">
        <v>181</v>
      </c>
      <c r="D3" t="s">
        <v>32</v>
      </c>
      <c r="E3" t="s">
        <v>33</v>
      </c>
      <c r="F3" t="s">
        <v>34</v>
      </c>
      <c r="G3" t="s">
        <v>35</v>
      </c>
      <c r="H3" t="s">
        <v>36</v>
      </c>
      <c r="J3" t="s">
        <v>37</v>
      </c>
      <c r="K3" t="s">
        <v>38</v>
      </c>
      <c r="N3" t="s">
        <v>39</v>
      </c>
      <c r="O3" t="s">
        <v>40</v>
      </c>
      <c r="P3" t="s">
        <v>41</v>
      </c>
      <c r="R3" t="s">
        <v>42</v>
      </c>
      <c r="S3" t="s">
        <v>43</v>
      </c>
      <c r="T3" t="s">
        <v>44</v>
      </c>
      <c r="U3" t="s">
        <v>34</v>
      </c>
      <c r="V3" t="s">
        <v>35</v>
      </c>
      <c r="W3" t="s">
        <v>36</v>
      </c>
      <c r="X3" t="s">
        <v>163</v>
      </c>
      <c r="Y3" t="s">
        <v>38</v>
      </c>
      <c r="Z3" t="s">
        <v>182</v>
      </c>
      <c r="AA3" t="s">
        <v>183</v>
      </c>
      <c r="AC3" s="18" t="s">
        <v>46</v>
      </c>
      <c r="AD3" s="19" t="s">
        <v>47</v>
      </c>
      <c r="AE3" s="20" t="s">
        <v>48</v>
      </c>
      <c r="AG3" t="s">
        <v>14</v>
      </c>
      <c r="AH3" t="s">
        <v>49</v>
      </c>
      <c r="AI3" t="s">
        <v>50</v>
      </c>
      <c r="AJ3" t="s">
        <v>17</v>
      </c>
      <c r="AK3" t="s">
        <v>51</v>
      </c>
      <c r="AL3" t="s">
        <v>52</v>
      </c>
      <c r="AN3" s="15" t="s">
        <v>53</v>
      </c>
      <c r="AO3" s="15" t="s">
        <v>54</v>
      </c>
      <c r="AQ3" t="s">
        <v>55</v>
      </c>
      <c r="AR3" t="s">
        <v>56</v>
      </c>
      <c r="AS3" t="s">
        <v>57</v>
      </c>
      <c r="AT3" t="s">
        <v>58</v>
      </c>
    </row>
    <row r="4" spans="1:46" x14ac:dyDescent="0.3">
      <c r="C4">
        <v>1</v>
      </c>
      <c r="D4" t="s">
        <v>59</v>
      </c>
      <c r="E4" t="s">
        <v>60</v>
      </c>
      <c r="F4" t="s">
        <v>61</v>
      </c>
      <c r="G4" t="s">
        <v>62</v>
      </c>
      <c r="H4" t="s">
        <v>63</v>
      </c>
      <c r="J4" t="s">
        <v>64</v>
      </c>
      <c r="K4" t="s">
        <v>4</v>
      </c>
      <c r="N4" t="s">
        <v>65</v>
      </c>
      <c r="O4" t="s">
        <v>66</v>
      </c>
      <c r="P4" t="s">
        <v>67</v>
      </c>
      <c r="R4">
        <v>1</v>
      </c>
      <c r="S4" t="s">
        <v>68</v>
      </c>
      <c r="T4" t="s">
        <v>165</v>
      </c>
      <c r="U4" t="s">
        <v>69</v>
      </c>
      <c r="V4" t="s">
        <v>70</v>
      </c>
      <c r="W4" t="s">
        <v>71</v>
      </c>
      <c r="X4" t="s">
        <v>166</v>
      </c>
      <c r="Y4" t="s">
        <v>72</v>
      </c>
      <c r="Z4" t="s">
        <v>74</v>
      </c>
      <c r="AA4" t="s">
        <v>184</v>
      </c>
      <c r="AC4" t="s">
        <v>75</v>
      </c>
      <c r="AD4" t="s">
        <v>185</v>
      </c>
      <c r="AE4" t="s">
        <v>76</v>
      </c>
      <c r="AG4" t="s">
        <v>20</v>
      </c>
      <c r="AH4" t="s">
        <v>89</v>
      </c>
      <c r="AI4" t="s">
        <v>24</v>
      </c>
      <c r="AJ4" t="s">
        <v>90</v>
      </c>
      <c r="AK4" t="s">
        <v>25</v>
      </c>
      <c r="AL4" t="s">
        <v>21</v>
      </c>
      <c r="AN4" s="2" t="s">
        <v>25</v>
      </c>
      <c r="AO4" s="2" t="s">
        <v>93</v>
      </c>
      <c r="AQ4" t="s">
        <v>25</v>
      </c>
      <c r="AR4" t="s">
        <v>79</v>
      </c>
      <c r="AS4">
        <v>1</v>
      </c>
      <c r="AT4" t="s">
        <v>105</v>
      </c>
    </row>
    <row r="5" spans="1:46" x14ac:dyDescent="0.3">
      <c r="C5">
        <v>2</v>
      </c>
      <c r="D5" s="8" t="s">
        <v>59</v>
      </c>
      <c r="E5" s="2" t="s">
        <v>60</v>
      </c>
      <c r="F5" s="10" t="s">
        <v>81</v>
      </c>
      <c r="G5" t="s">
        <v>82</v>
      </c>
      <c r="H5" t="s">
        <v>83</v>
      </c>
      <c r="J5" t="s">
        <v>64</v>
      </c>
      <c r="K5" t="s">
        <v>5</v>
      </c>
      <c r="N5" t="s">
        <v>84</v>
      </c>
      <c r="O5" t="s">
        <v>85</v>
      </c>
      <c r="P5" t="s">
        <v>86</v>
      </c>
      <c r="R5">
        <v>2</v>
      </c>
      <c r="S5" t="s">
        <v>68</v>
      </c>
      <c r="T5" t="s">
        <v>165</v>
      </c>
      <c r="U5" t="s">
        <v>69</v>
      </c>
      <c r="V5" t="s">
        <v>70</v>
      </c>
      <c r="W5" t="s">
        <v>71</v>
      </c>
      <c r="X5" t="s">
        <v>166</v>
      </c>
      <c r="Y5" t="s">
        <v>4</v>
      </c>
      <c r="Z5" t="s">
        <v>74</v>
      </c>
      <c r="AA5" t="s">
        <v>184</v>
      </c>
      <c r="AC5" t="s">
        <v>75</v>
      </c>
      <c r="AD5" t="s">
        <v>186</v>
      </c>
      <c r="AE5" t="s">
        <v>88</v>
      </c>
      <c r="AG5" t="s">
        <v>21</v>
      </c>
      <c r="AH5" t="s">
        <v>101</v>
      </c>
      <c r="AI5" t="s">
        <v>77</v>
      </c>
      <c r="AJ5" t="s">
        <v>102</v>
      </c>
      <c r="AK5" t="s">
        <v>25</v>
      </c>
      <c r="AL5" t="s">
        <v>92</v>
      </c>
      <c r="AN5" s="16" t="s">
        <v>92</v>
      </c>
      <c r="AO5" s="16" t="s">
        <v>104</v>
      </c>
      <c r="AQ5" t="s">
        <v>25</v>
      </c>
      <c r="AR5" t="s">
        <v>94</v>
      </c>
      <c r="AS5">
        <v>2</v>
      </c>
      <c r="AT5" t="s">
        <v>95</v>
      </c>
    </row>
    <row r="6" spans="1:46" x14ac:dyDescent="0.3">
      <c r="C6">
        <v>3</v>
      </c>
      <c r="D6" s="7" t="s">
        <v>59</v>
      </c>
      <c r="E6" s="3" t="s">
        <v>60</v>
      </c>
      <c r="F6" s="9" t="s">
        <v>96</v>
      </c>
      <c r="G6" s="11" t="s">
        <v>82</v>
      </c>
      <c r="H6" s="11" t="s">
        <v>97</v>
      </c>
      <c r="J6" t="s">
        <v>64</v>
      </c>
      <c r="K6" t="s">
        <v>6</v>
      </c>
      <c r="N6" t="s">
        <v>84</v>
      </c>
      <c r="O6" t="s">
        <v>98</v>
      </c>
      <c r="P6" t="s">
        <v>99</v>
      </c>
      <c r="R6">
        <v>3</v>
      </c>
      <c r="S6" t="s">
        <v>68</v>
      </c>
      <c r="T6" t="s">
        <v>165</v>
      </c>
      <c r="U6" t="s">
        <v>69</v>
      </c>
      <c r="V6" t="s">
        <v>70</v>
      </c>
      <c r="W6" t="s">
        <v>71</v>
      </c>
      <c r="X6" t="s">
        <v>166</v>
      </c>
      <c r="Y6" t="s">
        <v>7</v>
      </c>
      <c r="Z6" t="s">
        <v>74</v>
      </c>
      <c r="AA6" t="s">
        <v>184</v>
      </c>
      <c r="AC6" t="s">
        <v>87</v>
      </c>
      <c r="AD6" t="s">
        <v>174</v>
      </c>
      <c r="AE6" t="s">
        <v>91</v>
      </c>
      <c r="AQ6" t="s">
        <v>92</v>
      </c>
      <c r="AR6" t="s">
        <v>79</v>
      </c>
      <c r="AS6">
        <v>1</v>
      </c>
      <c r="AT6" t="s">
        <v>105</v>
      </c>
    </row>
    <row r="7" spans="1:46" x14ac:dyDescent="0.3">
      <c r="C7">
        <v>4</v>
      </c>
      <c r="D7" s="12" t="s">
        <v>59</v>
      </c>
      <c r="E7" s="2" t="s">
        <v>106</v>
      </c>
      <c r="F7" s="10" t="s">
        <v>107</v>
      </c>
      <c r="G7" t="s">
        <v>70</v>
      </c>
      <c r="H7" t="s">
        <v>108</v>
      </c>
      <c r="J7" t="s">
        <v>64</v>
      </c>
      <c r="K7" t="s">
        <v>109</v>
      </c>
      <c r="N7" t="s">
        <v>84</v>
      </c>
      <c r="O7" t="s">
        <v>110</v>
      </c>
      <c r="P7" t="s">
        <v>111</v>
      </c>
      <c r="R7">
        <v>4</v>
      </c>
      <c r="S7" t="s">
        <v>68</v>
      </c>
      <c r="T7" t="s">
        <v>165</v>
      </c>
      <c r="U7" t="s">
        <v>69</v>
      </c>
      <c r="V7" t="s">
        <v>70</v>
      </c>
      <c r="W7" t="s">
        <v>71</v>
      </c>
      <c r="X7" t="s">
        <v>166</v>
      </c>
      <c r="Y7" t="s">
        <v>72</v>
      </c>
      <c r="Z7" t="s">
        <v>187</v>
      </c>
      <c r="AA7" t="s">
        <v>184</v>
      </c>
      <c r="AC7" t="s">
        <v>87</v>
      </c>
      <c r="AD7" t="s">
        <v>175</v>
      </c>
      <c r="AE7" t="s">
        <v>112</v>
      </c>
      <c r="AQ7" t="s">
        <v>92</v>
      </c>
      <c r="AR7" t="s">
        <v>94</v>
      </c>
      <c r="AS7">
        <v>2</v>
      </c>
      <c r="AT7" t="s">
        <v>95</v>
      </c>
    </row>
    <row r="8" spans="1:46" x14ac:dyDescent="0.3">
      <c r="C8">
        <v>5</v>
      </c>
      <c r="D8" t="s">
        <v>113</v>
      </c>
      <c r="E8" t="s">
        <v>114</v>
      </c>
      <c r="J8" t="s">
        <v>64</v>
      </c>
      <c r="K8" t="s">
        <v>7</v>
      </c>
      <c r="N8" t="s">
        <v>73</v>
      </c>
      <c r="O8" t="s">
        <v>115</v>
      </c>
      <c r="P8" t="s">
        <v>116</v>
      </c>
      <c r="R8">
        <v>5</v>
      </c>
      <c r="S8" t="s">
        <v>68</v>
      </c>
      <c r="T8" t="s">
        <v>165</v>
      </c>
      <c r="U8" t="s">
        <v>69</v>
      </c>
      <c r="V8" t="s">
        <v>70</v>
      </c>
      <c r="W8" t="s">
        <v>71</v>
      </c>
      <c r="X8" t="s">
        <v>166</v>
      </c>
      <c r="Y8" t="s">
        <v>4</v>
      </c>
      <c r="Z8" t="s">
        <v>187</v>
      </c>
      <c r="AA8" t="s">
        <v>184</v>
      </c>
      <c r="AC8" t="s">
        <v>100</v>
      </c>
      <c r="AD8" t="s">
        <v>176</v>
      </c>
      <c r="AE8" t="s">
        <v>118</v>
      </c>
    </row>
    <row r="9" spans="1:46" x14ac:dyDescent="0.3">
      <c r="C9">
        <v>6</v>
      </c>
      <c r="D9" t="s">
        <v>113</v>
      </c>
      <c r="E9" t="s">
        <v>188</v>
      </c>
      <c r="I9" s="1"/>
      <c r="J9" t="s">
        <v>119</v>
      </c>
      <c r="K9" t="s">
        <v>120</v>
      </c>
      <c r="N9" t="s">
        <v>73</v>
      </c>
      <c r="O9" t="s">
        <v>121</v>
      </c>
      <c r="P9" t="s">
        <v>122</v>
      </c>
      <c r="R9">
        <v>6</v>
      </c>
      <c r="S9" t="s">
        <v>68</v>
      </c>
      <c r="T9" t="s">
        <v>165</v>
      </c>
      <c r="U9" t="s">
        <v>69</v>
      </c>
      <c r="V9" t="s">
        <v>70</v>
      </c>
      <c r="W9" t="s">
        <v>71</v>
      </c>
      <c r="X9" t="s">
        <v>166</v>
      </c>
      <c r="Y9" t="s">
        <v>7</v>
      </c>
      <c r="Z9" t="s">
        <v>187</v>
      </c>
      <c r="AA9" t="s">
        <v>184</v>
      </c>
      <c r="AC9" s="8" t="s">
        <v>100</v>
      </c>
      <c r="AD9" t="s">
        <v>177</v>
      </c>
      <c r="AE9" t="s">
        <v>78</v>
      </c>
    </row>
    <row r="10" spans="1:46" x14ac:dyDescent="0.3">
      <c r="C10">
        <v>7</v>
      </c>
      <c r="D10" t="s">
        <v>113</v>
      </c>
      <c r="E10" t="s">
        <v>123</v>
      </c>
      <c r="J10" t="s">
        <v>119</v>
      </c>
      <c r="K10" t="s">
        <v>124</v>
      </c>
      <c r="N10" t="s">
        <v>73</v>
      </c>
      <c r="O10" t="s">
        <v>125</v>
      </c>
      <c r="P10" t="s">
        <v>126</v>
      </c>
      <c r="R10">
        <v>7</v>
      </c>
      <c r="S10" t="s">
        <v>68</v>
      </c>
      <c r="T10" t="s">
        <v>165</v>
      </c>
      <c r="U10" t="s">
        <v>69</v>
      </c>
      <c r="V10" t="s">
        <v>70</v>
      </c>
      <c r="W10" t="s">
        <v>71</v>
      </c>
      <c r="X10" t="s">
        <v>166</v>
      </c>
      <c r="Y10" t="s">
        <v>72</v>
      </c>
      <c r="Z10" t="s">
        <v>74</v>
      </c>
      <c r="AA10" t="s">
        <v>189</v>
      </c>
      <c r="AC10" s="8"/>
      <c r="AG10" t="s">
        <v>14</v>
      </c>
      <c r="AH10" t="s">
        <v>49</v>
      </c>
      <c r="AI10" t="s">
        <v>50</v>
      </c>
      <c r="AJ10" t="s">
        <v>17</v>
      </c>
      <c r="AK10" t="s">
        <v>51</v>
      </c>
      <c r="AL10" t="s">
        <v>52</v>
      </c>
      <c r="AN10" s="15" t="s">
        <v>53</v>
      </c>
      <c r="AO10" s="15" t="s">
        <v>54</v>
      </c>
      <c r="AQ10" t="s">
        <v>55</v>
      </c>
      <c r="AR10" t="s">
        <v>56</v>
      </c>
      <c r="AS10" t="s">
        <v>57</v>
      </c>
      <c r="AT10" t="s">
        <v>58</v>
      </c>
    </row>
    <row r="11" spans="1:46" x14ac:dyDescent="0.3">
      <c r="C11">
        <v>8</v>
      </c>
      <c r="D11" t="s">
        <v>59</v>
      </c>
      <c r="E11" t="s">
        <v>106</v>
      </c>
      <c r="F11" t="s">
        <v>127</v>
      </c>
      <c r="G11" t="s">
        <v>128</v>
      </c>
      <c r="H11" t="s">
        <v>129</v>
      </c>
      <c r="J11" t="s">
        <v>119</v>
      </c>
      <c r="K11" t="s">
        <v>130</v>
      </c>
      <c r="N11" t="s">
        <v>84</v>
      </c>
      <c r="O11" t="s">
        <v>190</v>
      </c>
      <c r="P11" t="s">
        <v>191</v>
      </c>
      <c r="R11">
        <v>8</v>
      </c>
      <c r="S11" t="s">
        <v>68</v>
      </c>
      <c r="T11" t="s">
        <v>165</v>
      </c>
      <c r="U11" t="s">
        <v>69</v>
      </c>
      <c r="V11" t="s">
        <v>70</v>
      </c>
      <c r="W11" t="s">
        <v>71</v>
      </c>
      <c r="X11" t="s">
        <v>166</v>
      </c>
      <c r="Y11" t="s">
        <v>4</v>
      </c>
      <c r="Z11" t="s">
        <v>74</v>
      </c>
      <c r="AA11" t="s">
        <v>189</v>
      </c>
      <c r="AF11" s="1"/>
      <c r="AG11" t="s">
        <v>20</v>
      </c>
      <c r="AH11" t="s">
        <v>192</v>
      </c>
      <c r="AI11" t="s">
        <v>193</v>
      </c>
      <c r="AJ11" t="s">
        <v>194</v>
      </c>
      <c r="AK11" t="s">
        <v>25</v>
      </c>
      <c r="AL11" t="s">
        <v>21</v>
      </c>
      <c r="AN11" s="2" t="s">
        <v>25</v>
      </c>
      <c r="AO11" s="2" t="s">
        <v>195</v>
      </c>
      <c r="AQ11" t="s">
        <v>25</v>
      </c>
      <c r="AR11" t="s">
        <v>196</v>
      </c>
      <c r="AS11">
        <v>1</v>
      </c>
      <c r="AT11" t="s">
        <v>105</v>
      </c>
    </row>
    <row r="12" spans="1:46" x14ac:dyDescent="0.3">
      <c r="C12">
        <v>9</v>
      </c>
      <c r="D12" t="s">
        <v>59</v>
      </c>
      <c r="E12" t="s">
        <v>106</v>
      </c>
      <c r="F12" t="s">
        <v>131</v>
      </c>
      <c r="G12" t="s">
        <v>70</v>
      </c>
      <c r="H12" t="s">
        <v>71</v>
      </c>
      <c r="J12" t="s">
        <v>3</v>
      </c>
      <c r="K12" t="s">
        <v>132</v>
      </c>
      <c r="R12">
        <v>9</v>
      </c>
      <c r="S12" t="s">
        <v>68</v>
      </c>
      <c r="T12" t="s">
        <v>165</v>
      </c>
      <c r="U12" t="s">
        <v>69</v>
      </c>
      <c r="V12" t="s">
        <v>70</v>
      </c>
      <c r="W12" t="s">
        <v>71</v>
      </c>
      <c r="X12" t="s">
        <v>166</v>
      </c>
      <c r="Y12" t="s">
        <v>7</v>
      </c>
      <c r="Z12" t="s">
        <v>74</v>
      </c>
      <c r="AA12" t="s">
        <v>189</v>
      </c>
      <c r="AG12" t="s">
        <v>21</v>
      </c>
      <c r="AH12" t="s">
        <v>197</v>
      </c>
      <c r="AI12" t="s">
        <v>193</v>
      </c>
      <c r="AJ12" t="s">
        <v>194</v>
      </c>
      <c r="AK12" t="s">
        <v>92</v>
      </c>
      <c r="AL12" t="s">
        <v>26</v>
      </c>
      <c r="AN12" s="16" t="s">
        <v>92</v>
      </c>
      <c r="AO12" s="2" t="s">
        <v>198</v>
      </c>
      <c r="AQ12" t="s">
        <v>25</v>
      </c>
      <c r="AR12" t="s">
        <v>199</v>
      </c>
      <c r="AS12">
        <v>2</v>
      </c>
      <c r="AT12" t="s">
        <v>95</v>
      </c>
    </row>
    <row r="13" spans="1:46" x14ac:dyDescent="0.3">
      <c r="C13">
        <v>10</v>
      </c>
      <c r="D13" t="s">
        <v>59</v>
      </c>
      <c r="E13" t="s">
        <v>106</v>
      </c>
      <c r="F13" t="s">
        <v>133</v>
      </c>
      <c r="G13" t="s">
        <v>134</v>
      </c>
      <c r="H13" t="s">
        <v>135</v>
      </c>
      <c r="J13" t="s">
        <v>3</v>
      </c>
      <c r="K13" t="s">
        <v>136</v>
      </c>
      <c r="R13">
        <v>10</v>
      </c>
      <c r="S13" t="s">
        <v>68</v>
      </c>
      <c r="T13" t="s">
        <v>165</v>
      </c>
      <c r="U13" t="s">
        <v>69</v>
      </c>
      <c r="V13" t="s">
        <v>70</v>
      </c>
      <c r="W13" t="s">
        <v>71</v>
      </c>
      <c r="X13" t="s">
        <v>166</v>
      </c>
      <c r="Y13" t="s">
        <v>72</v>
      </c>
      <c r="Z13" t="s">
        <v>187</v>
      </c>
      <c r="AA13" t="s">
        <v>189</v>
      </c>
      <c r="AG13" t="s">
        <v>26</v>
      </c>
      <c r="AH13" t="s">
        <v>200</v>
      </c>
      <c r="AI13" t="s">
        <v>193</v>
      </c>
      <c r="AJ13" t="s">
        <v>194</v>
      </c>
      <c r="AK13" t="s">
        <v>103</v>
      </c>
      <c r="AL13" t="s">
        <v>92</v>
      </c>
      <c r="AN13" t="s">
        <v>103</v>
      </c>
      <c r="AO13" s="2" t="s">
        <v>201</v>
      </c>
      <c r="AQ13" t="s">
        <v>92</v>
      </c>
      <c r="AR13" t="s">
        <v>202</v>
      </c>
      <c r="AS13">
        <v>1</v>
      </c>
      <c r="AT13" t="s">
        <v>105</v>
      </c>
    </row>
    <row r="14" spans="1:46" x14ac:dyDescent="0.3">
      <c r="F14" s="1"/>
      <c r="G14" s="1"/>
      <c r="H14" s="1"/>
      <c r="I14" s="1"/>
      <c r="J14" t="s">
        <v>3</v>
      </c>
      <c r="K14" t="s">
        <v>137</v>
      </c>
      <c r="R14">
        <v>11</v>
      </c>
      <c r="S14" t="s">
        <v>68</v>
      </c>
      <c r="T14" t="s">
        <v>165</v>
      </c>
      <c r="U14" t="s">
        <v>69</v>
      </c>
      <c r="V14" t="s">
        <v>70</v>
      </c>
      <c r="W14" t="s">
        <v>71</v>
      </c>
      <c r="X14" t="s">
        <v>166</v>
      </c>
      <c r="Y14" t="s">
        <v>4</v>
      </c>
      <c r="Z14" t="s">
        <v>187</v>
      </c>
      <c r="AA14" t="s">
        <v>189</v>
      </c>
      <c r="AQ14" t="s">
        <v>92</v>
      </c>
      <c r="AR14" t="s">
        <v>199</v>
      </c>
      <c r="AS14">
        <v>2</v>
      </c>
      <c r="AT14" t="s">
        <v>95</v>
      </c>
    </row>
    <row r="15" spans="1:46" x14ac:dyDescent="0.3">
      <c r="J15" t="s">
        <v>3</v>
      </c>
      <c r="K15" t="s">
        <v>138</v>
      </c>
      <c r="R15">
        <v>12</v>
      </c>
      <c r="S15" t="s">
        <v>68</v>
      </c>
      <c r="T15" t="s">
        <v>165</v>
      </c>
      <c r="U15" t="s">
        <v>69</v>
      </c>
      <c r="V15" t="s">
        <v>70</v>
      </c>
      <c r="W15" t="s">
        <v>71</v>
      </c>
      <c r="X15" t="s">
        <v>166</v>
      </c>
      <c r="Y15" t="s">
        <v>7</v>
      </c>
      <c r="Z15" t="s">
        <v>187</v>
      </c>
      <c r="AA15" t="s">
        <v>189</v>
      </c>
      <c r="AQ15" t="s">
        <v>103</v>
      </c>
      <c r="AR15" t="s">
        <v>203</v>
      </c>
      <c r="AS15">
        <v>1</v>
      </c>
      <c r="AT15" t="s">
        <v>105</v>
      </c>
    </row>
    <row r="16" spans="1:46" x14ac:dyDescent="0.3">
      <c r="J16" t="s">
        <v>139</v>
      </c>
      <c r="K16" t="s">
        <v>140</v>
      </c>
      <c r="AQ16" t="s">
        <v>103</v>
      </c>
      <c r="AR16" t="s">
        <v>199</v>
      </c>
      <c r="AS16">
        <v>2</v>
      </c>
      <c r="AT16" t="s">
        <v>95</v>
      </c>
    </row>
    <row r="17" spans="4:33" x14ac:dyDescent="0.3">
      <c r="J17" t="s">
        <v>139</v>
      </c>
      <c r="K17" t="s">
        <v>141</v>
      </c>
      <c r="AC17" t="s">
        <v>46</v>
      </c>
      <c r="AD17" t="s">
        <v>47</v>
      </c>
      <c r="AG17" t="s">
        <v>45</v>
      </c>
    </row>
    <row r="18" spans="4:33" x14ac:dyDescent="0.3">
      <c r="J18" t="s">
        <v>139</v>
      </c>
      <c r="K18" t="s">
        <v>142</v>
      </c>
      <c r="AC18" t="s">
        <v>143</v>
      </c>
      <c r="AD18" t="s">
        <v>75</v>
      </c>
      <c r="AG18" t="s">
        <v>204</v>
      </c>
    </row>
    <row r="19" spans="4:33" x14ac:dyDescent="0.3">
      <c r="J19" t="s">
        <v>144</v>
      </c>
      <c r="K19" t="s">
        <v>145</v>
      </c>
      <c r="AC19" t="s">
        <v>68</v>
      </c>
      <c r="AD19" t="s">
        <v>87</v>
      </c>
      <c r="AG19" t="s">
        <v>74</v>
      </c>
    </row>
    <row r="20" spans="4:33" x14ac:dyDescent="0.3">
      <c r="J20" t="s">
        <v>144</v>
      </c>
      <c r="K20" t="s">
        <v>146</v>
      </c>
      <c r="AC20" t="s">
        <v>68</v>
      </c>
      <c r="AD20" t="s">
        <v>100</v>
      </c>
      <c r="AG20" t="s">
        <v>187</v>
      </c>
    </row>
    <row r="21" spans="4:33" x14ac:dyDescent="0.3">
      <c r="D21" t="s">
        <v>168</v>
      </c>
      <c r="G21" t="s">
        <v>169</v>
      </c>
      <c r="J21" t="s">
        <v>144</v>
      </c>
      <c r="K21" t="s">
        <v>147</v>
      </c>
      <c r="AC21" t="s">
        <v>59</v>
      </c>
      <c r="AD21" t="s">
        <v>117</v>
      </c>
    </row>
    <row r="22" spans="4:33" x14ac:dyDescent="0.3">
      <c r="D22" t="s">
        <v>61</v>
      </c>
      <c r="G22" t="s">
        <v>61</v>
      </c>
    </row>
    <row r="23" spans="4:33" x14ac:dyDescent="0.3">
      <c r="D23" t="s">
        <v>81</v>
      </c>
      <c r="G23" t="s">
        <v>81</v>
      </c>
      <c r="Y23" s="8"/>
    </row>
    <row r="24" spans="4:33" x14ac:dyDescent="0.3">
      <c r="D24" t="s">
        <v>96</v>
      </c>
      <c r="G24" t="s">
        <v>96</v>
      </c>
      <c r="Y24" s="8"/>
    </row>
    <row r="25" spans="4:33" ht="15" thickBot="1" x14ac:dyDescent="0.35">
      <c r="D25" t="s">
        <v>170</v>
      </c>
    </row>
    <row r="26" spans="4:33" ht="15" thickBot="1" x14ac:dyDescent="0.35">
      <c r="AC26" s="18" t="s">
        <v>46</v>
      </c>
      <c r="AD26" s="19" t="s">
        <v>47</v>
      </c>
      <c r="AE26" s="20" t="s">
        <v>48</v>
      </c>
      <c r="AG26" t="s">
        <v>205</v>
      </c>
    </row>
    <row r="27" spans="4:33" x14ac:dyDescent="0.3">
      <c r="G27" t="s">
        <v>206</v>
      </c>
      <c r="AC27" t="s">
        <v>75</v>
      </c>
      <c r="AD27" t="s">
        <v>207</v>
      </c>
      <c r="AE27" t="s">
        <v>76</v>
      </c>
      <c r="AG27" t="s">
        <v>208</v>
      </c>
    </row>
    <row r="28" spans="4:33" x14ac:dyDescent="0.3">
      <c r="D28" t="s">
        <v>209</v>
      </c>
      <c r="G28" t="s">
        <v>210</v>
      </c>
      <c r="AC28" t="s">
        <v>75</v>
      </c>
      <c r="AD28" t="s">
        <v>211</v>
      </c>
      <c r="AE28" t="s">
        <v>88</v>
      </c>
      <c r="AG28" t="s">
        <v>189</v>
      </c>
    </row>
    <row r="29" spans="4:33" x14ac:dyDescent="0.3">
      <c r="D29" t="s">
        <v>173</v>
      </c>
      <c r="G29" t="s">
        <v>212</v>
      </c>
      <c r="AC29" t="s">
        <v>87</v>
      </c>
      <c r="AD29" t="s">
        <v>213</v>
      </c>
      <c r="AE29" t="s">
        <v>91</v>
      </c>
      <c r="AG29" t="s">
        <v>184</v>
      </c>
    </row>
    <row r="30" spans="4:33" x14ac:dyDescent="0.3">
      <c r="D30" t="s">
        <v>214</v>
      </c>
      <c r="G30" t="s">
        <v>215</v>
      </c>
      <c r="R30" s="73" t="s">
        <v>216</v>
      </c>
      <c r="S30" s="73"/>
      <c r="T30" s="73"/>
      <c r="U30" s="73"/>
      <c r="V30" s="73"/>
      <c r="W30" s="73"/>
      <c r="AC30" t="s">
        <v>87</v>
      </c>
      <c r="AD30" t="s">
        <v>217</v>
      </c>
      <c r="AE30" t="s">
        <v>112</v>
      </c>
    </row>
    <row r="31" spans="4:33" x14ac:dyDescent="0.3">
      <c r="D31" t="s">
        <v>218</v>
      </c>
      <c r="G31" t="s">
        <v>219</v>
      </c>
      <c r="R31" t="s">
        <v>42</v>
      </c>
      <c r="S31" t="s">
        <v>220</v>
      </c>
      <c r="T31" t="s">
        <v>163</v>
      </c>
      <c r="U31" t="s">
        <v>38</v>
      </c>
      <c r="V31" t="s">
        <v>182</v>
      </c>
      <c r="W31" t="s">
        <v>164</v>
      </c>
      <c r="AC31" t="s">
        <v>100</v>
      </c>
      <c r="AD31" t="s">
        <v>221</v>
      </c>
      <c r="AE31" t="s">
        <v>118</v>
      </c>
    </row>
    <row r="32" spans="4:33" x14ac:dyDescent="0.3">
      <c r="G32" t="s">
        <v>222</v>
      </c>
      <c r="R32">
        <v>1</v>
      </c>
      <c r="S32">
        <v>9</v>
      </c>
      <c r="T32" t="s">
        <v>166</v>
      </c>
      <c r="U32" t="s">
        <v>72</v>
      </c>
      <c r="V32" t="s">
        <v>74</v>
      </c>
      <c r="W32" t="s">
        <v>167</v>
      </c>
      <c r="AC32" s="8" t="s">
        <v>100</v>
      </c>
      <c r="AD32" t="s">
        <v>217</v>
      </c>
      <c r="AE32" t="s">
        <v>78</v>
      </c>
    </row>
    <row r="33" spans="4:23" x14ac:dyDescent="0.3">
      <c r="R33">
        <v>2</v>
      </c>
      <c r="S33">
        <v>9</v>
      </c>
      <c r="T33" t="s">
        <v>166</v>
      </c>
      <c r="U33" t="s">
        <v>4</v>
      </c>
      <c r="V33" t="s">
        <v>74</v>
      </c>
      <c r="W33" t="s">
        <v>167</v>
      </c>
    </row>
    <row r="34" spans="4:23" x14ac:dyDescent="0.3">
      <c r="D34" t="s">
        <v>12</v>
      </c>
      <c r="R34">
        <v>3</v>
      </c>
      <c r="S34">
        <v>9</v>
      </c>
      <c r="T34" t="s">
        <v>166</v>
      </c>
      <c r="U34" t="s">
        <v>7</v>
      </c>
      <c r="V34" t="s">
        <v>74</v>
      </c>
      <c r="W34" t="s">
        <v>167</v>
      </c>
    </row>
    <row r="35" spans="4:23" x14ac:dyDescent="0.3">
      <c r="D35">
        <v>2</v>
      </c>
      <c r="R35">
        <v>4</v>
      </c>
      <c r="S35">
        <v>9</v>
      </c>
      <c r="T35" t="s">
        <v>166</v>
      </c>
      <c r="U35" t="s">
        <v>72</v>
      </c>
      <c r="V35" t="s">
        <v>187</v>
      </c>
      <c r="W35" t="s">
        <v>167</v>
      </c>
    </row>
    <row r="36" spans="4:23" x14ac:dyDescent="0.3">
      <c r="D36">
        <v>4</v>
      </c>
      <c r="R36">
        <v>5</v>
      </c>
      <c r="S36">
        <v>9</v>
      </c>
      <c r="T36" t="s">
        <v>166</v>
      </c>
      <c r="U36" t="s">
        <v>4</v>
      </c>
      <c r="V36" t="s">
        <v>187</v>
      </c>
      <c r="W36" t="s">
        <v>167</v>
      </c>
    </row>
    <row r="37" spans="4:23" x14ac:dyDescent="0.3">
      <c r="D37">
        <v>6</v>
      </c>
      <c r="R37">
        <v>6</v>
      </c>
      <c r="S37">
        <v>9</v>
      </c>
      <c r="T37" t="s">
        <v>166</v>
      </c>
      <c r="U37" t="s">
        <v>7</v>
      </c>
      <c r="V37" t="s">
        <v>187</v>
      </c>
      <c r="W37" t="s">
        <v>167</v>
      </c>
    </row>
  </sheetData>
  <mergeCells count="6">
    <mergeCell ref="AC2:AE2"/>
    <mergeCell ref="R30:W30"/>
    <mergeCell ref="C2:H2"/>
    <mergeCell ref="J2:K2"/>
    <mergeCell ref="N2:P2"/>
    <mergeCell ref="R2:AA2"/>
  </mergeCells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2:T46"/>
  <sheetViews>
    <sheetView zoomScale="85" zoomScaleNormal="85" workbookViewId="0">
      <selection activeCell="E12" sqref="E12"/>
    </sheetView>
  </sheetViews>
  <sheetFormatPr baseColWidth="10" defaultColWidth="11.44140625" defaultRowHeight="14.4" x14ac:dyDescent="0.3"/>
  <cols>
    <col min="3" max="3" width="66.109375" customWidth="1"/>
    <col min="6" max="6" width="22.6640625" bestFit="1" customWidth="1"/>
    <col min="9" max="10" width="12" bestFit="1" customWidth="1"/>
    <col min="15" max="15" width="10.33203125" bestFit="1" customWidth="1"/>
    <col min="16" max="16" width="20.44140625" bestFit="1" customWidth="1"/>
    <col min="17" max="17" width="22.44140625" bestFit="1" customWidth="1"/>
    <col min="18" max="18" width="26.88671875" bestFit="1" customWidth="1"/>
    <col min="19" max="19" width="25.5546875" bestFit="1" customWidth="1"/>
    <col min="20" max="20" width="24.109375" bestFit="1" customWidth="1"/>
  </cols>
  <sheetData>
    <row r="2" spans="1:19" ht="18.600000000000001" thickBot="1" x14ac:dyDescent="0.35">
      <c r="A2" s="77" t="s">
        <v>513</v>
      </c>
      <c r="B2" s="77"/>
      <c r="C2" s="77"/>
      <c r="M2" t="s">
        <v>510</v>
      </c>
    </row>
    <row r="3" spans="1:19" ht="15" thickBot="1" x14ac:dyDescent="0.35">
      <c r="A3" s="78" t="s">
        <v>512</v>
      </c>
      <c r="B3" s="79"/>
      <c r="C3" s="80"/>
      <c r="J3">
        <v>10112387203</v>
      </c>
      <c r="K3" t="s">
        <v>494</v>
      </c>
      <c r="M3" t="s">
        <v>495</v>
      </c>
    </row>
    <row r="4" spans="1:19" ht="15" thickBot="1" x14ac:dyDescent="0.35">
      <c r="A4" s="33"/>
      <c r="B4" s="35" t="s">
        <v>511</v>
      </c>
      <c r="C4">
        <v>10112387203</v>
      </c>
      <c r="D4" t="s">
        <v>500</v>
      </c>
      <c r="E4" t="s">
        <v>510</v>
      </c>
      <c r="F4" t="s">
        <v>509</v>
      </c>
      <c r="G4" t="s">
        <v>508</v>
      </c>
      <c r="J4">
        <v>70775031</v>
      </c>
      <c r="K4" t="s">
        <v>468</v>
      </c>
      <c r="M4" t="s">
        <v>74</v>
      </c>
    </row>
    <row r="5" spans="1:19" ht="15" thickBot="1" x14ac:dyDescent="0.35">
      <c r="A5" s="33"/>
      <c r="B5" s="35" t="s">
        <v>507</v>
      </c>
      <c r="C5" s="33" t="s">
        <v>506</v>
      </c>
      <c r="D5" t="str">
        <f>LOOKUP(C4,J2:J5,K2:K5)</f>
        <v>CLIEN001</v>
      </c>
      <c r="E5" t="str">
        <f>LOOKUP(D5,K3:K5,M3:M5)</f>
        <v>VIP</v>
      </c>
      <c r="F5" t="str">
        <f>LOOKUP(C10,Q9:Q37,R9:R37)</f>
        <v>Equipo de comunicación</v>
      </c>
      <c r="G5" t="str">
        <f>LOOKUP(C10,Q9:Q37,S9:S37)</f>
        <v>Mark7</v>
      </c>
      <c r="J5">
        <v>76729288</v>
      </c>
      <c r="K5" t="s">
        <v>443</v>
      </c>
      <c r="M5" t="s">
        <v>204</v>
      </c>
    </row>
    <row r="6" spans="1:19" ht="15" thickBot="1" x14ac:dyDescent="0.35">
      <c r="A6" s="33"/>
      <c r="B6" s="35" t="s">
        <v>505</v>
      </c>
      <c r="C6" s="33" t="s">
        <v>504</v>
      </c>
    </row>
    <row r="7" spans="1:19" ht="15" thickBot="1" x14ac:dyDescent="0.35">
      <c r="A7" s="33"/>
      <c r="B7" s="33"/>
      <c r="C7" s="33"/>
    </row>
    <row r="8" spans="1:19" ht="15" thickBot="1" x14ac:dyDescent="0.35">
      <c r="A8" s="78" t="s">
        <v>503</v>
      </c>
      <c r="B8" s="79"/>
      <c r="C8" s="80"/>
      <c r="H8" t="s">
        <v>502</v>
      </c>
      <c r="I8" t="s">
        <v>501</v>
      </c>
      <c r="J8" s="24" t="s">
        <v>500</v>
      </c>
      <c r="K8" s="24" t="s">
        <v>499</v>
      </c>
      <c r="L8" s="24" t="s">
        <v>498</v>
      </c>
      <c r="M8" s="24" t="s">
        <v>413</v>
      </c>
      <c r="N8" s="24" t="s">
        <v>497</v>
      </c>
    </row>
    <row r="9" spans="1:19" ht="27" thickBot="1" x14ac:dyDescent="0.35">
      <c r="A9" s="33"/>
      <c r="B9" s="34" t="s">
        <v>496</v>
      </c>
      <c r="C9" s="33" t="s">
        <v>455</v>
      </c>
      <c r="H9" t="s">
        <v>495</v>
      </c>
      <c r="I9" s="81">
        <v>10112387203</v>
      </c>
      <c r="J9" s="74" t="s">
        <v>494</v>
      </c>
      <c r="K9" s="74" t="s">
        <v>493</v>
      </c>
      <c r="L9" s="24" t="s">
        <v>492</v>
      </c>
      <c r="M9" s="24"/>
      <c r="N9" s="24"/>
      <c r="P9" t="s">
        <v>493</v>
      </c>
      <c r="Q9" s="24" t="s">
        <v>492</v>
      </c>
      <c r="R9" t="s">
        <v>60</v>
      </c>
      <c r="S9" t="s">
        <v>491</v>
      </c>
    </row>
    <row r="10" spans="1:19" ht="15" thickBot="1" x14ac:dyDescent="0.35">
      <c r="A10" s="33"/>
      <c r="B10" s="34" t="s">
        <v>490</v>
      </c>
      <c r="C10" s="33" t="s">
        <v>475</v>
      </c>
      <c r="I10" s="81"/>
      <c r="J10" s="75"/>
      <c r="K10" s="75"/>
      <c r="L10" s="24" t="s">
        <v>489</v>
      </c>
      <c r="M10" s="24"/>
      <c r="N10" s="24"/>
      <c r="P10" t="s">
        <v>483</v>
      </c>
      <c r="Q10" s="24" t="s">
        <v>489</v>
      </c>
      <c r="R10" t="s">
        <v>449</v>
      </c>
      <c r="S10" t="s">
        <v>488</v>
      </c>
    </row>
    <row r="11" spans="1:19" ht="27" thickBot="1" x14ac:dyDescent="0.35">
      <c r="A11" s="33"/>
      <c r="B11" s="34" t="s">
        <v>487</v>
      </c>
      <c r="C11" s="33"/>
      <c r="I11" s="81"/>
      <c r="J11" s="75"/>
      <c r="K11" s="76"/>
      <c r="L11" s="24" t="s">
        <v>486</v>
      </c>
      <c r="M11" s="24"/>
      <c r="N11" s="24"/>
      <c r="P11" t="s">
        <v>478</v>
      </c>
      <c r="Q11" s="24" t="s">
        <v>486</v>
      </c>
      <c r="R11" t="s">
        <v>420</v>
      </c>
      <c r="S11" t="s">
        <v>485</v>
      </c>
    </row>
    <row r="12" spans="1:19" ht="15" thickBot="1" x14ac:dyDescent="0.35">
      <c r="A12" s="33"/>
      <c r="B12" s="34" t="s">
        <v>484</v>
      </c>
      <c r="C12" s="33" t="s">
        <v>399</v>
      </c>
      <c r="I12" s="81"/>
      <c r="J12" s="75"/>
      <c r="K12" s="74" t="s">
        <v>483</v>
      </c>
      <c r="L12" s="24" t="s">
        <v>482</v>
      </c>
      <c r="M12" s="24"/>
      <c r="N12" s="24"/>
      <c r="P12" t="s">
        <v>471</v>
      </c>
      <c r="Q12" s="24" t="s">
        <v>482</v>
      </c>
      <c r="R12" t="s">
        <v>445</v>
      </c>
      <c r="S12" t="s">
        <v>481</v>
      </c>
    </row>
    <row r="13" spans="1:19" ht="15" thickBot="1" x14ac:dyDescent="0.35">
      <c r="A13" s="33"/>
      <c r="B13" s="33"/>
      <c r="C13" s="33"/>
      <c r="I13" s="81"/>
      <c r="J13" s="75"/>
      <c r="K13" s="76"/>
      <c r="L13" s="24" t="s">
        <v>480</v>
      </c>
      <c r="M13" s="24"/>
      <c r="N13" s="24"/>
      <c r="P13" t="s">
        <v>467</v>
      </c>
      <c r="Q13" s="24" t="s">
        <v>480</v>
      </c>
      <c r="R13" t="s">
        <v>449</v>
      </c>
      <c r="S13" t="s">
        <v>479</v>
      </c>
    </row>
    <row r="14" spans="1:19" ht="15" thickBot="1" x14ac:dyDescent="0.35">
      <c r="A14" s="33"/>
      <c r="B14" s="33"/>
      <c r="C14" s="33"/>
      <c r="I14" s="81"/>
      <c r="J14" s="75"/>
      <c r="K14" s="74" t="s">
        <v>478</v>
      </c>
      <c r="L14" s="24" t="s">
        <v>477</v>
      </c>
      <c r="M14" s="24"/>
      <c r="N14" s="24"/>
      <c r="P14" t="s">
        <v>460</v>
      </c>
      <c r="Q14" s="24" t="s">
        <v>477</v>
      </c>
      <c r="R14" t="s">
        <v>417</v>
      </c>
      <c r="S14" t="s">
        <v>476</v>
      </c>
    </row>
    <row r="15" spans="1:19" x14ac:dyDescent="0.3">
      <c r="I15" s="81"/>
      <c r="J15" s="75"/>
      <c r="K15" s="75"/>
      <c r="L15" s="24" t="s">
        <v>475</v>
      </c>
      <c r="M15" s="24"/>
      <c r="N15" s="24"/>
      <c r="P15" t="s">
        <v>455</v>
      </c>
      <c r="Q15" s="24" t="s">
        <v>475</v>
      </c>
      <c r="R15" t="s">
        <v>417</v>
      </c>
      <c r="S15" t="s">
        <v>474</v>
      </c>
    </row>
    <row r="16" spans="1:19" x14ac:dyDescent="0.3">
      <c r="I16" s="81"/>
      <c r="J16" s="75"/>
      <c r="K16" s="76"/>
      <c r="L16" s="24" t="s">
        <v>473</v>
      </c>
      <c r="M16" s="24"/>
      <c r="N16" s="24"/>
      <c r="P16" t="s">
        <v>447</v>
      </c>
      <c r="Q16" s="24" t="s">
        <v>473</v>
      </c>
      <c r="R16" t="s">
        <v>60</v>
      </c>
      <c r="S16" t="s">
        <v>472</v>
      </c>
    </row>
    <row r="17" spans="8:19" x14ac:dyDescent="0.3">
      <c r="I17" s="81"/>
      <c r="J17" s="76"/>
      <c r="K17" s="32" t="s">
        <v>471</v>
      </c>
      <c r="L17" s="24" t="s">
        <v>470</v>
      </c>
      <c r="M17" s="24"/>
      <c r="N17" s="24"/>
      <c r="P17" t="s">
        <v>442</v>
      </c>
      <c r="Q17" s="24" t="s">
        <v>470</v>
      </c>
      <c r="R17" t="s">
        <v>420</v>
      </c>
      <c r="S17" t="s">
        <v>469</v>
      </c>
    </row>
    <row r="18" spans="8:19" x14ac:dyDescent="0.3">
      <c r="H18" t="s">
        <v>74</v>
      </c>
      <c r="I18" s="81">
        <v>70775031</v>
      </c>
      <c r="J18" s="74" t="s">
        <v>468</v>
      </c>
      <c r="K18" s="74" t="s">
        <v>467</v>
      </c>
      <c r="L18" s="24" t="s">
        <v>466</v>
      </c>
      <c r="M18" s="24"/>
      <c r="N18" s="24"/>
      <c r="P18" t="s">
        <v>435</v>
      </c>
      <c r="Q18" s="24" t="s">
        <v>466</v>
      </c>
      <c r="R18" t="s">
        <v>60</v>
      </c>
      <c r="S18" t="s">
        <v>465</v>
      </c>
    </row>
    <row r="19" spans="8:19" x14ac:dyDescent="0.3">
      <c r="I19" s="81"/>
      <c r="J19" s="75"/>
      <c r="K19" s="75"/>
      <c r="L19" s="24" t="s">
        <v>464</v>
      </c>
      <c r="M19" s="24"/>
      <c r="N19" s="24"/>
      <c r="P19" t="s">
        <v>430</v>
      </c>
      <c r="Q19" s="24" t="s">
        <v>464</v>
      </c>
      <c r="R19" t="s">
        <v>445</v>
      </c>
      <c r="S19" t="s">
        <v>463</v>
      </c>
    </row>
    <row r="20" spans="8:19" x14ac:dyDescent="0.3">
      <c r="I20" s="81"/>
      <c r="J20" s="75"/>
      <c r="K20" s="76"/>
      <c r="L20" s="24" t="s">
        <v>462</v>
      </c>
      <c r="M20" s="24"/>
      <c r="N20" s="24"/>
      <c r="P20" t="s">
        <v>422</v>
      </c>
      <c r="Q20" s="24" t="s">
        <v>462</v>
      </c>
      <c r="R20" t="s">
        <v>420</v>
      </c>
      <c r="S20" t="s">
        <v>461</v>
      </c>
    </row>
    <row r="21" spans="8:19" x14ac:dyDescent="0.3">
      <c r="I21" s="81"/>
      <c r="J21" s="75"/>
      <c r="K21" s="74" t="s">
        <v>460</v>
      </c>
      <c r="L21" s="24" t="s">
        <v>459</v>
      </c>
      <c r="M21" s="24"/>
      <c r="N21" s="24"/>
      <c r="Q21" s="24" t="s">
        <v>459</v>
      </c>
      <c r="R21" t="s">
        <v>449</v>
      </c>
      <c r="S21" t="s">
        <v>458</v>
      </c>
    </row>
    <row r="22" spans="8:19" x14ac:dyDescent="0.3">
      <c r="I22" s="81"/>
      <c r="J22" s="75"/>
      <c r="K22" s="76"/>
      <c r="L22" s="24" t="s">
        <v>457</v>
      </c>
      <c r="M22" s="24"/>
      <c r="N22" s="24"/>
      <c r="Q22" s="24" t="s">
        <v>457</v>
      </c>
      <c r="R22" t="s">
        <v>417</v>
      </c>
      <c r="S22" t="s">
        <v>456</v>
      </c>
    </row>
    <row r="23" spans="8:19" x14ac:dyDescent="0.3">
      <c r="I23" s="81"/>
      <c r="J23" s="75"/>
      <c r="K23" s="74" t="s">
        <v>455</v>
      </c>
      <c r="L23" s="24" t="s">
        <v>454</v>
      </c>
      <c r="M23" s="24"/>
      <c r="N23" s="24"/>
      <c r="Q23" s="24" t="s">
        <v>454</v>
      </c>
      <c r="R23" t="s">
        <v>60</v>
      </c>
      <c r="S23" t="s">
        <v>453</v>
      </c>
    </row>
    <row r="24" spans="8:19" x14ac:dyDescent="0.3">
      <c r="I24" s="81"/>
      <c r="J24" s="75"/>
      <c r="K24" s="75"/>
      <c r="L24" s="24" t="s">
        <v>452</v>
      </c>
      <c r="M24" s="24"/>
      <c r="N24" s="24"/>
      <c r="Q24" s="24" t="s">
        <v>452</v>
      </c>
      <c r="R24" t="s">
        <v>445</v>
      </c>
      <c r="S24" t="s">
        <v>451</v>
      </c>
    </row>
    <row r="25" spans="8:19" x14ac:dyDescent="0.3">
      <c r="I25" s="81"/>
      <c r="J25" s="75"/>
      <c r="K25" s="76"/>
      <c r="L25" s="24" t="s">
        <v>450</v>
      </c>
      <c r="M25" s="24"/>
      <c r="N25" s="24"/>
      <c r="Q25" s="24" t="s">
        <v>450</v>
      </c>
      <c r="R25" t="s">
        <v>449</v>
      </c>
      <c r="S25" t="s">
        <v>448</v>
      </c>
    </row>
    <row r="26" spans="8:19" x14ac:dyDescent="0.3">
      <c r="I26" s="81"/>
      <c r="J26" s="76"/>
      <c r="K26" s="32" t="s">
        <v>447</v>
      </c>
      <c r="L26" s="24" t="s">
        <v>446</v>
      </c>
      <c r="M26" s="24"/>
      <c r="N26" s="24"/>
      <c r="Q26" s="24" t="s">
        <v>446</v>
      </c>
      <c r="R26" t="s">
        <v>445</v>
      </c>
      <c r="S26" t="s">
        <v>444</v>
      </c>
    </row>
    <row r="27" spans="8:19" x14ac:dyDescent="0.3">
      <c r="H27" t="s">
        <v>204</v>
      </c>
      <c r="I27" s="81">
        <v>76729288</v>
      </c>
      <c r="J27" s="74" t="s">
        <v>443</v>
      </c>
      <c r="K27" s="74" t="s">
        <v>442</v>
      </c>
      <c r="L27" s="24" t="s">
        <v>441</v>
      </c>
      <c r="M27" s="24"/>
      <c r="N27" s="24"/>
      <c r="Q27" s="24" t="s">
        <v>441</v>
      </c>
      <c r="R27" t="s">
        <v>420</v>
      </c>
      <c r="S27" t="s">
        <v>440</v>
      </c>
    </row>
    <row r="28" spans="8:19" x14ac:dyDescent="0.3">
      <c r="I28" s="81"/>
      <c r="J28" s="75"/>
      <c r="K28" s="75"/>
      <c r="L28" s="24" t="s">
        <v>439</v>
      </c>
      <c r="M28" s="24"/>
      <c r="N28" s="24"/>
      <c r="Q28" s="24" t="s">
        <v>439</v>
      </c>
      <c r="R28" t="s">
        <v>420</v>
      </c>
      <c r="S28" t="s">
        <v>438</v>
      </c>
    </row>
    <row r="29" spans="8:19" x14ac:dyDescent="0.3">
      <c r="I29" s="81"/>
      <c r="J29" s="75"/>
      <c r="K29" s="76"/>
      <c r="L29" s="24" t="s">
        <v>437</v>
      </c>
      <c r="M29" s="24"/>
      <c r="N29" s="24"/>
      <c r="Q29" s="24" t="s">
        <v>437</v>
      </c>
      <c r="R29" t="s">
        <v>417</v>
      </c>
      <c r="S29" t="s">
        <v>436</v>
      </c>
    </row>
    <row r="30" spans="8:19" x14ac:dyDescent="0.3">
      <c r="I30" s="81"/>
      <c r="J30" s="75"/>
      <c r="K30" s="74" t="s">
        <v>435</v>
      </c>
      <c r="L30" s="24" t="s">
        <v>434</v>
      </c>
      <c r="M30" s="24"/>
      <c r="N30" s="24"/>
      <c r="Q30" s="24" t="s">
        <v>434</v>
      </c>
      <c r="R30" t="s">
        <v>60</v>
      </c>
      <c r="S30" t="s">
        <v>433</v>
      </c>
    </row>
    <row r="31" spans="8:19" x14ac:dyDescent="0.3">
      <c r="I31" s="81"/>
      <c r="J31" s="75"/>
      <c r="K31" s="76"/>
      <c r="L31" s="24" t="s">
        <v>432</v>
      </c>
      <c r="M31" s="24"/>
      <c r="N31" s="24"/>
      <c r="Q31" s="24" t="s">
        <v>432</v>
      </c>
      <c r="R31" t="s">
        <v>424</v>
      </c>
      <c r="S31" t="s">
        <v>431</v>
      </c>
    </row>
    <row r="32" spans="8:19" x14ac:dyDescent="0.3">
      <c r="I32" s="81"/>
      <c r="J32" s="75"/>
      <c r="K32" s="74" t="s">
        <v>430</v>
      </c>
      <c r="L32" s="24" t="s">
        <v>429</v>
      </c>
      <c r="M32" s="24"/>
      <c r="N32" s="24"/>
      <c r="Q32" s="24" t="s">
        <v>429</v>
      </c>
      <c r="R32" t="s">
        <v>60</v>
      </c>
      <c r="S32" t="s">
        <v>428</v>
      </c>
    </row>
    <row r="33" spans="9:20" x14ac:dyDescent="0.3">
      <c r="I33" s="81"/>
      <c r="J33" s="75"/>
      <c r="K33" s="75"/>
      <c r="L33" s="24" t="s">
        <v>427</v>
      </c>
      <c r="M33" s="24"/>
      <c r="N33" s="24"/>
      <c r="Q33" s="24" t="s">
        <v>427</v>
      </c>
      <c r="R33" t="s">
        <v>424</v>
      </c>
      <c r="S33" t="s">
        <v>426</v>
      </c>
    </row>
    <row r="34" spans="9:20" x14ac:dyDescent="0.3">
      <c r="I34" s="81"/>
      <c r="J34" s="75"/>
      <c r="K34" s="76"/>
      <c r="L34" s="24" t="s">
        <v>425</v>
      </c>
      <c r="M34" s="24"/>
      <c r="N34" s="24"/>
      <c r="Q34" s="24" t="s">
        <v>425</v>
      </c>
      <c r="R34" t="s">
        <v>424</v>
      </c>
      <c r="S34" t="s">
        <v>423</v>
      </c>
    </row>
    <row r="35" spans="9:20" x14ac:dyDescent="0.3">
      <c r="I35" s="81"/>
      <c r="J35" s="75"/>
      <c r="K35" s="74" t="s">
        <v>422</v>
      </c>
      <c r="L35" s="24" t="s">
        <v>421</v>
      </c>
      <c r="M35" s="24"/>
      <c r="N35" s="24"/>
      <c r="Q35" s="24" t="s">
        <v>421</v>
      </c>
      <c r="R35" t="s">
        <v>420</v>
      </c>
      <c r="S35" t="s">
        <v>419</v>
      </c>
    </row>
    <row r="36" spans="9:20" x14ac:dyDescent="0.3">
      <c r="I36" s="81"/>
      <c r="J36" s="75"/>
      <c r="K36" s="75"/>
      <c r="L36" s="24" t="s">
        <v>418</v>
      </c>
      <c r="M36" s="24"/>
      <c r="N36" s="24"/>
      <c r="Q36" s="24" t="s">
        <v>418</v>
      </c>
      <c r="R36" t="s">
        <v>417</v>
      </c>
      <c r="S36" t="s">
        <v>416</v>
      </c>
    </row>
    <row r="37" spans="9:20" x14ac:dyDescent="0.3">
      <c r="I37" s="81"/>
      <c r="J37" s="76"/>
      <c r="K37" s="76"/>
      <c r="L37" s="24" t="s">
        <v>415</v>
      </c>
      <c r="M37" s="24"/>
      <c r="N37" s="24"/>
      <c r="Q37" s="24" t="s">
        <v>415</v>
      </c>
      <c r="R37" t="s">
        <v>60</v>
      </c>
      <c r="S37" t="s">
        <v>414</v>
      </c>
    </row>
    <row r="40" spans="9:20" x14ac:dyDescent="0.3">
      <c r="M40" s="83" t="s">
        <v>413</v>
      </c>
      <c r="N40" s="83"/>
      <c r="O40" s="32" t="s">
        <v>412</v>
      </c>
      <c r="P40" s="32" t="s">
        <v>411</v>
      </c>
      <c r="Q40" s="32" t="s">
        <v>410</v>
      </c>
      <c r="R40" s="32" t="s">
        <v>409</v>
      </c>
      <c r="S40" s="32" t="s">
        <v>408</v>
      </c>
      <c r="T40" s="32" t="s">
        <v>407</v>
      </c>
    </row>
    <row r="41" spans="9:20" x14ac:dyDescent="0.3">
      <c r="M41" s="82" t="s">
        <v>406</v>
      </c>
      <c r="N41" s="82"/>
      <c r="O41" s="24" t="s">
        <v>401</v>
      </c>
      <c r="P41" s="24" t="s">
        <v>405</v>
      </c>
      <c r="Q41" s="24" t="s">
        <v>404</v>
      </c>
      <c r="R41" s="24" t="s">
        <v>403</v>
      </c>
      <c r="S41" s="24" t="s">
        <v>402</v>
      </c>
      <c r="T41" s="24" t="s">
        <v>401</v>
      </c>
    </row>
    <row r="42" spans="9:20" x14ac:dyDescent="0.3">
      <c r="M42" s="82" t="s">
        <v>400</v>
      </c>
      <c r="N42" s="82"/>
      <c r="O42" s="24" t="s">
        <v>225</v>
      </c>
      <c r="P42" s="24" t="s">
        <v>399</v>
      </c>
      <c r="Q42" s="24" t="s">
        <v>225</v>
      </c>
      <c r="R42" s="24" t="s">
        <v>5</v>
      </c>
      <c r="S42" s="24" t="s">
        <v>398</v>
      </c>
      <c r="T42" s="24" t="s">
        <v>397</v>
      </c>
    </row>
    <row r="43" spans="9:20" x14ac:dyDescent="0.3">
      <c r="M43" s="82" t="s">
        <v>396</v>
      </c>
      <c r="N43" s="82"/>
      <c r="O43" s="24"/>
      <c r="P43" s="24"/>
      <c r="Q43" s="24" t="s">
        <v>395</v>
      </c>
      <c r="R43" s="24" t="s">
        <v>394</v>
      </c>
      <c r="S43" s="24" t="s">
        <v>393</v>
      </c>
      <c r="T43" s="24" t="s">
        <v>225</v>
      </c>
    </row>
    <row r="44" spans="9:20" x14ac:dyDescent="0.3">
      <c r="M44" s="82" t="s">
        <v>392</v>
      </c>
      <c r="N44" s="82"/>
      <c r="O44" s="24"/>
      <c r="P44" s="24"/>
      <c r="Q44" s="24" t="s">
        <v>391</v>
      </c>
      <c r="R44" s="24" t="s">
        <v>4</v>
      </c>
      <c r="S44" s="24" t="s">
        <v>390</v>
      </c>
      <c r="T44" s="24" t="s">
        <v>389</v>
      </c>
    </row>
    <row r="45" spans="9:20" x14ac:dyDescent="0.3">
      <c r="M45" s="82" t="s">
        <v>388</v>
      </c>
      <c r="N45" s="82"/>
      <c r="O45" s="24"/>
      <c r="P45" s="24"/>
      <c r="Q45" s="24"/>
      <c r="R45" s="24" t="s">
        <v>387</v>
      </c>
      <c r="S45" s="24"/>
      <c r="T45" s="24" t="s">
        <v>386</v>
      </c>
    </row>
    <row r="46" spans="9:20" x14ac:dyDescent="0.3">
      <c r="M46" s="82" t="s">
        <v>385</v>
      </c>
      <c r="N46" s="82"/>
      <c r="O46" s="24"/>
      <c r="P46" s="24"/>
      <c r="Q46" s="24"/>
      <c r="R46" s="24" t="s">
        <v>384</v>
      </c>
      <c r="S46" s="24"/>
      <c r="T46" s="24" t="s">
        <v>383</v>
      </c>
    </row>
  </sheetData>
  <mergeCells count="26">
    <mergeCell ref="M45:N45"/>
    <mergeCell ref="M46:N46"/>
    <mergeCell ref="K35:K37"/>
    <mergeCell ref="M40:N40"/>
    <mergeCell ref="M41:N41"/>
    <mergeCell ref="M42:N42"/>
    <mergeCell ref="M43:N43"/>
    <mergeCell ref="M44:N44"/>
    <mergeCell ref="I27:I37"/>
    <mergeCell ref="J27:J37"/>
    <mergeCell ref="K27:K29"/>
    <mergeCell ref="K30:K31"/>
    <mergeCell ref="K32:K34"/>
    <mergeCell ref="I18:I26"/>
    <mergeCell ref="J18:J26"/>
    <mergeCell ref="K18:K20"/>
    <mergeCell ref="K21:K22"/>
    <mergeCell ref="K23:K25"/>
    <mergeCell ref="K9:K11"/>
    <mergeCell ref="K12:K13"/>
    <mergeCell ref="K14:K16"/>
    <mergeCell ref="A2:C2"/>
    <mergeCell ref="A3:C3"/>
    <mergeCell ref="A8:C8"/>
    <mergeCell ref="I9:I17"/>
    <mergeCell ref="J9:J17"/>
  </mergeCells>
  <dataValidations count="5">
    <dataValidation type="list" allowBlank="1" showInputMessage="1" showErrorMessage="1" sqref="C9" xr:uid="{00000000-0002-0000-0600-000000000000}">
      <formula1>$K$9:$K$37</formula1>
    </dataValidation>
    <dataValidation type="list" allowBlank="1" showInputMessage="1" showErrorMessage="1" sqref="C10" xr:uid="{00000000-0002-0000-0600-000001000000}">
      <formula1>INDIRECT($D$9)</formula1>
    </dataValidation>
    <dataValidation type="list" allowBlank="1" showInputMessage="1" showErrorMessage="1" sqref="C11" xr:uid="{00000000-0002-0000-0600-000002000000}">
      <formula1>$N$41:$N$46</formula1>
    </dataValidation>
    <dataValidation type="list" allowBlank="1" showInputMessage="1" showErrorMessage="1" sqref="C12" xr:uid="{00000000-0002-0000-0600-000003000000}">
      <formula1>INDIRECT($D$11)</formula1>
    </dataValidation>
    <dataValidation operator="equal" allowBlank="1" showInputMessage="1" showErrorMessage="1" sqref="F5:G5" xr:uid="{00000000-0002-0000-0600-000004000000}"/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2F91-E570-4E3C-96BC-501F38ABFAF6}">
  <sheetPr codeName="Sheet29"/>
  <dimension ref="A1:A4"/>
  <sheetViews>
    <sheetView workbookViewId="0">
      <selection activeCell="A2" sqref="A2:A4"/>
    </sheetView>
  </sheetViews>
  <sheetFormatPr baseColWidth="10" defaultColWidth="8.88671875" defaultRowHeight="14.4" x14ac:dyDescent="0.3"/>
  <cols>
    <col min="1" max="1" width="13.44140625" customWidth="1"/>
  </cols>
  <sheetData>
    <row r="1" spans="1:1" x14ac:dyDescent="0.3">
      <c r="A1" t="s">
        <v>614</v>
      </c>
    </row>
    <row r="2" spans="1:1" x14ac:dyDescent="0.3">
      <c r="A2" t="s">
        <v>187</v>
      </c>
    </row>
    <row r="3" spans="1:1" x14ac:dyDescent="0.3">
      <c r="A3" t="s">
        <v>546</v>
      </c>
    </row>
    <row r="4" spans="1:1" x14ac:dyDescent="0.3">
      <c r="A4" t="s">
        <v>615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CACF-C8D8-41B6-A731-DD7525CE16FD}">
  <sheetPr codeName="Sheet30"/>
  <dimension ref="A1:A3"/>
  <sheetViews>
    <sheetView workbookViewId="0">
      <selection activeCell="A2" sqref="A2:A3"/>
    </sheetView>
  </sheetViews>
  <sheetFormatPr baseColWidth="10" defaultColWidth="8.88671875" defaultRowHeight="14.4" x14ac:dyDescent="0.3"/>
  <cols>
    <col min="1" max="1" width="10.44140625" customWidth="1"/>
  </cols>
  <sheetData>
    <row r="1" spans="1:1" x14ac:dyDescent="0.3">
      <c r="A1" t="s">
        <v>616</v>
      </c>
    </row>
    <row r="2" spans="1:1" x14ac:dyDescent="0.3">
      <c r="A2" t="s">
        <v>187</v>
      </c>
    </row>
    <row r="3" spans="1:1" x14ac:dyDescent="0.3">
      <c r="A3" t="s">
        <v>546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2F8FD-D6E7-45F6-9291-C80C4D657032}">
  <sheetPr codeName="Sheet31"/>
  <dimension ref="A1:A5"/>
  <sheetViews>
    <sheetView workbookViewId="0">
      <selection activeCell="A2" sqref="A2:A5"/>
    </sheetView>
  </sheetViews>
  <sheetFormatPr baseColWidth="10" defaultColWidth="8.88671875" defaultRowHeight="14.4" x14ac:dyDescent="0.3"/>
  <cols>
    <col min="1" max="1" width="23.109375" bestFit="1" customWidth="1"/>
  </cols>
  <sheetData>
    <row r="1" spans="1:1" x14ac:dyDescent="0.3">
      <c r="A1" t="s">
        <v>617</v>
      </c>
    </row>
    <row r="2" spans="1:1" x14ac:dyDescent="0.3">
      <c r="A2" t="s">
        <v>11</v>
      </c>
    </row>
    <row r="3" spans="1:1" x14ac:dyDescent="0.3">
      <c r="A3" t="s">
        <v>162</v>
      </c>
    </row>
    <row r="4" spans="1:1" x14ac:dyDescent="0.3">
      <c r="A4" t="s">
        <v>161</v>
      </c>
    </row>
    <row r="5" spans="1:1" x14ac:dyDescent="0.3">
      <c r="A5" t="s">
        <v>618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3532-339A-4F5F-B203-2B04CE713FD6}">
  <sheetPr codeName="Sheet32"/>
  <dimension ref="A1:A4"/>
  <sheetViews>
    <sheetView workbookViewId="0">
      <selection activeCell="A2" sqref="A2:A4"/>
    </sheetView>
  </sheetViews>
  <sheetFormatPr baseColWidth="10" defaultColWidth="8.88671875" defaultRowHeight="14.4" x14ac:dyDescent="0.3"/>
  <cols>
    <col min="1" max="1" width="15.6640625" customWidth="1"/>
  </cols>
  <sheetData>
    <row r="1" spans="1:1" x14ac:dyDescent="0.3">
      <c r="A1" t="s">
        <v>617</v>
      </c>
    </row>
    <row r="2" spans="1:1" x14ac:dyDescent="0.3">
      <c r="A2" s="22" t="s">
        <v>162</v>
      </c>
    </row>
    <row r="3" spans="1:1" x14ac:dyDescent="0.3">
      <c r="A3" s="21" t="s">
        <v>161</v>
      </c>
    </row>
    <row r="4" spans="1:1" x14ac:dyDescent="0.3">
      <c r="A4" s="59" t="s">
        <v>618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CD650-71A4-4163-BA63-D1BCB3E36848}">
  <sheetPr codeName="Sheet21"/>
  <dimension ref="A1:C4"/>
  <sheetViews>
    <sheetView workbookViewId="0">
      <selection activeCell="A2" sqref="A2:A4"/>
    </sheetView>
  </sheetViews>
  <sheetFormatPr baseColWidth="10" defaultColWidth="8.88671875" defaultRowHeight="14.4" x14ac:dyDescent="0.3"/>
  <cols>
    <col min="1" max="1" width="56.109375" bestFit="1" customWidth="1"/>
    <col min="2" max="2" width="19.5546875" customWidth="1"/>
    <col min="3" max="3" width="13.44140625" bestFit="1" customWidth="1"/>
  </cols>
  <sheetData>
    <row r="1" spans="1:3" x14ac:dyDescent="0.3">
      <c r="A1" s="15" t="s">
        <v>369</v>
      </c>
      <c r="B1" s="15" t="s">
        <v>306</v>
      </c>
      <c r="C1" s="15" t="s">
        <v>524</v>
      </c>
    </row>
    <row r="2" spans="1:3" x14ac:dyDescent="0.3">
      <c r="A2" s="3" t="s">
        <v>599</v>
      </c>
      <c r="B2" s="3" t="s">
        <v>308</v>
      </c>
      <c r="C2" s="3" t="s">
        <v>538</v>
      </c>
    </row>
    <row r="3" spans="1:3" x14ac:dyDescent="0.3">
      <c r="A3" s="2" t="s">
        <v>601</v>
      </c>
      <c r="B3" s="2" t="s">
        <v>602</v>
      </c>
      <c r="C3" s="2" t="s">
        <v>538</v>
      </c>
    </row>
    <row r="4" spans="1:3" x14ac:dyDescent="0.3">
      <c r="A4" s="16" t="s">
        <v>600</v>
      </c>
      <c r="B4" s="16" t="s">
        <v>406</v>
      </c>
      <c r="C4" s="16" t="s">
        <v>538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725D3-581D-4E7E-812F-D8717A31087B}">
  <sheetPr codeName="Sheet13"/>
  <dimension ref="A1:C5"/>
  <sheetViews>
    <sheetView workbookViewId="0">
      <selection activeCell="A2" sqref="A2:B5"/>
    </sheetView>
  </sheetViews>
  <sheetFormatPr baseColWidth="10" defaultColWidth="8.88671875" defaultRowHeight="14.4" x14ac:dyDescent="0.3"/>
  <cols>
    <col min="1" max="1" width="56.109375" bestFit="1" customWidth="1"/>
    <col min="2" max="2" width="19.5546875" customWidth="1"/>
    <col min="3" max="3" width="13.44140625" bestFit="1" customWidth="1"/>
  </cols>
  <sheetData>
    <row r="1" spans="1:3" x14ac:dyDescent="0.3">
      <c r="A1" t="s">
        <v>369</v>
      </c>
      <c r="B1" t="s">
        <v>306</v>
      </c>
      <c r="C1" t="s">
        <v>524</v>
      </c>
    </row>
    <row r="2" spans="1:3" x14ac:dyDescent="0.3">
      <c r="A2" t="s">
        <v>598</v>
      </c>
      <c r="B2" t="s">
        <v>307</v>
      </c>
      <c r="C2" t="s">
        <v>537</v>
      </c>
    </row>
    <row r="3" spans="1:3" x14ac:dyDescent="0.3">
      <c r="A3" t="s">
        <v>599</v>
      </c>
      <c r="B3" t="s">
        <v>307</v>
      </c>
      <c r="C3" t="s">
        <v>537</v>
      </c>
    </row>
    <row r="4" spans="1:3" x14ac:dyDescent="0.3">
      <c r="A4" t="s">
        <v>600</v>
      </c>
      <c r="B4" t="s">
        <v>308</v>
      </c>
      <c r="C4" t="s">
        <v>537</v>
      </c>
    </row>
    <row r="5" spans="1:3" x14ac:dyDescent="0.3">
      <c r="A5" t="s">
        <v>600</v>
      </c>
      <c r="B5" t="s">
        <v>307</v>
      </c>
      <c r="C5" t="s">
        <v>537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DB-B454-4259-9634-12380765B05D}">
  <sheetPr codeName="Sheet20"/>
  <dimension ref="A1:A3"/>
  <sheetViews>
    <sheetView workbookViewId="0">
      <selection activeCell="J21" sqref="J21"/>
    </sheetView>
  </sheetViews>
  <sheetFormatPr baseColWidth="10" defaultColWidth="8.88671875" defaultRowHeight="14.4" x14ac:dyDescent="0.3"/>
  <cols>
    <col min="1" max="1" width="13.44140625" bestFit="1" customWidth="1"/>
  </cols>
  <sheetData>
    <row r="1" spans="1:1" x14ac:dyDescent="0.3">
      <c r="A1" t="s">
        <v>524</v>
      </c>
    </row>
    <row r="2" spans="1:1" x14ac:dyDescent="0.3">
      <c r="A2" t="s">
        <v>537</v>
      </c>
    </row>
    <row r="3" spans="1:1" x14ac:dyDescent="0.3">
      <c r="A3" t="s">
        <v>538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8347F-AAF8-4CF1-AFB0-939EA3733EF9}">
  <sheetPr codeName="Sheet22"/>
  <dimension ref="A1:I6"/>
  <sheetViews>
    <sheetView workbookViewId="0">
      <selection activeCell="G1" sqref="G1:G3"/>
    </sheetView>
  </sheetViews>
  <sheetFormatPr baseColWidth="10" defaultColWidth="8.88671875" defaultRowHeight="14.4" x14ac:dyDescent="0.3"/>
  <cols>
    <col min="1" max="1" width="14" bestFit="1" customWidth="1"/>
    <col min="3" max="3" width="56.109375" bestFit="1" customWidth="1"/>
    <col min="5" max="5" width="16" customWidth="1"/>
    <col min="7" max="7" width="19.44140625" customWidth="1"/>
    <col min="9" max="9" width="56.109375" bestFit="1" customWidth="1"/>
  </cols>
  <sheetData>
    <row r="1" spans="1:9" x14ac:dyDescent="0.3">
      <c r="A1" t="s">
        <v>49</v>
      </c>
      <c r="C1" t="s">
        <v>369</v>
      </c>
      <c r="E1" s="55" t="s">
        <v>37</v>
      </c>
      <c r="G1" s="15" t="s">
        <v>605</v>
      </c>
      <c r="I1" s="15" t="s">
        <v>606</v>
      </c>
    </row>
    <row r="2" spans="1:9" x14ac:dyDescent="0.3">
      <c r="A2" t="s">
        <v>369</v>
      </c>
      <c r="C2" s="7" t="s">
        <v>599</v>
      </c>
      <c r="E2" t="s">
        <v>603</v>
      </c>
      <c r="G2" s="2" t="s">
        <v>308</v>
      </c>
      <c r="I2" s="16" t="s">
        <v>600</v>
      </c>
    </row>
    <row r="3" spans="1:9" x14ac:dyDescent="0.3">
      <c r="A3" t="s">
        <v>37</v>
      </c>
      <c r="C3" s="8" t="s">
        <v>601</v>
      </c>
      <c r="E3" t="s">
        <v>308</v>
      </c>
      <c r="G3" s="16" t="s">
        <v>307</v>
      </c>
    </row>
    <row r="4" spans="1:9" x14ac:dyDescent="0.3">
      <c r="C4" s="56" t="s">
        <v>600</v>
      </c>
      <c r="E4" t="s">
        <v>307</v>
      </c>
    </row>
    <row r="5" spans="1:9" x14ac:dyDescent="0.3">
      <c r="E5" t="s">
        <v>602</v>
      </c>
    </row>
    <row r="6" spans="1:9" x14ac:dyDescent="0.3">
      <c r="E6" t="s">
        <v>604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A1E99-2CBD-4423-BE69-C779C0CE3972}">
  <sheetPr codeName="Sheet23"/>
  <dimension ref="A1:C4"/>
  <sheetViews>
    <sheetView workbookViewId="0">
      <selection activeCell="A2" sqref="A2:C4"/>
    </sheetView>
  </sheetViews>
  <sheetFormatPr baseColWidth="10" defaultColWidth="8.88671875" defaultRowHeight="14.4" x14ac:dyDescent="0.3"/>
  <cols>
    <col min="1" max="1" width="56.109375" bestFit="1" customWidth="1"/>
    <col min="2" max="2" width="16" customWidth="1"/>
    <col min="3" max="3" width="19" bestFit="1" customWidth="1"/>
  </cols>
  <sheetData>
    <row r="1" spans="1:3" x14ac:dyDescent="0.3">
      <c r="A1" t="s">
        <v>369</v>
      </c>
      <c r="B1" t="s">
        <v>37</v>
      </c>
      <c r="C1" t="s">
        <v>38</v>
      </c>
    </row>
    <row r="2" spans="1:3" x14ac:dyDescent="0.3">
      <c r="A2" s="21" t="s">
        <v>600</v>
      </c>
      <c r="B2" s="21" t="s">
        <v>308</v>
      </c>
      <c r="C2" t="s">
        <v>607</v>
      </c>
    </row>
    <row r="3" spans="1:3" x14ac:dyDescent="0.3">
      <c r="A3" s="21" t="s">
        <v>600</v>
      </c>
      <c r="B3" s="21" t="s">
        <v>308</v>
      </c>
      <c r="C3" t="s">
        <v>610</v>
      </c>
    </row>
    <row r="4" spans="1:3" x14ac:dyDescent="0.3">
      <c r="A4" s="21" t="s">
        <v>600</v>
      </c>
      <c r="B4" s="21" t="s">
        <v>308</v>
      </c>
      <c r="C4" t="s">
        <v>611</v>
      </c>
    </row>
  </sheetData>
  <sortState xmlns:xlrd2="http://schemas.microsoft.com/office/spreadsheetml/2017/richdata2" ref="A2:C4">
    <sortCondition ref="B2"/>
  </sortState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BAD18-6639-4C55-9802-EF09ABBC87AC}">
  <sheetPr codeName="Sheet24"/>
  <dimension ref="A1:C3"/>
  <sheetViews>
    <sheetView workbookViewId="0">
      <selection activeCell="C2" sqref="A2:C3"/>
    </sheetView>
  </sheetViews>
  <sheetFormatPr baseColWidth="10" defaultColWidth="8.88671875" defaultRowHeight="14.4" x14ac:dyDescent="0.3"/>
  <cols>
    <col min="1" max="1" width="56.109375" bestFit="1" customWidth="1"/>
    <col min="2" max="2" width="16" customWidth="1"/>
    <col min="3" max="3" width="19" bestFit="1" customWidth="1"/>
  </cols>
  <sheetData>
    <row r="1" spans="1:3" x14ac:dyDescent="0.3">
      <c r="A1" s="15" t="s">
        <v>369</v>
      </c>
      <c r="B1" s="15" t="s">
        <v>37</v>
      </c>
      <c r="C1" s="15" t="s">
        <v>38</v>
      </c>
    </row>
    <row r="2" spans="1:3" x14ac:dyDescent="0.3">
      <c r="A2" s="9" t="s">
        <v>600</v>
      </c>
      <c r="B2" s="21" t="s">
        <v>307</v>
      </c>
      <c r="C2" s="2" t="s">
        <v>608</v>
      </c>
    </row>
    <row r="3" spans="1:3" x14ac:dyDescent="0.3">
      <c r="A3" s="57" t="s">
        <v>600</v>
      </c>
      <c r="B3" s="58" t="s">
        <v>307</v>
      </c>
      <c r="C3" s="16" t="s">
        <v>609</v>
      </c>
    </row>
  </sheetData>
  <pageMargins left="0.7" right="0.7" top="0.75" bottom="0.75" header="0.3" footer="0.3"/>
  <tableParts count="1">
    <tablePart r:id="rId1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96E30-7B51-4D86-BA4B-C281D52771EB}">
  <sheetPr codeName="Sheet25"/>
  <dimension ref="A1:A6"/>
  <sheetViews>
    <sheetView workbookViewId="0">
      <selection activeCell="A2" sqref="A2:A6"/>
    </sheetView>
  </sheetViews>
  <sheetFormatPr baseColWidth="10" defaultColWidth="8.88671875" defaultRowHeight="14.4" x14ac:dyDescent="0.3"/>
  <cols>
    <col min="1" max="1" width="16.33203125" bestFit="1" customWidth="1"/>
  </cols>
  <sheetData>
    <row r="1" spans="1:1" x14ac:dyDescent="0.3">
      <c r="A1" s="55" t="s">
        <v>37</v>
      </c>
    </row>
    <row r="2" spans="1:1" x14ac:dyDescent="0.3">
      <c r="A2" t="s">
        <v>603</v>
      </c>
    </row>
    <row r="3" spans="1:1" x14ac:dyDescent="0.3">
      <c r="A3" t="s">
        <v>308</v>
      </c>
    </row>
    <row r="4" spans="1:1" x14ac:dyDescent="0.3">
      <c r="A4" t="s">
        <v>307</v>
      </c>
    </row>
    <row r="5" spans="1:1" x14ac:dyDescent="0.3">
      <c r="A5" t="s">
        <v>602</v>
      </c>
    </row>
    <row r="6" spans="1:1" x14ac:dyDescent="0.3">
      <c r="A6" t="s">
        <v>604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B8874-FBE4-4432-8809-CF6AFB302446}">
  <sheetPr codeName="Sheet26"/>
  <dimension ref="A1:A4"/>
  <sheetViews>
    <sheetView workbookViewId="0">
      <selection activeCell="A2" sqref="A2:A4"/>
    </sheetView>
  </sheetViews>
  <sheetFormatPr baseColWidth="10" defaultColWidth="8.88671875" defaultRowHeight="14.4" x14ac:dyDescent="0.3"/>
  <cols>
    <col min="1" max="1" width="19.88671875" bestFit="1" customWidth="1"/>
  </cols>
  <sheetData>
    <row r="1" spans="1:1" x14ac:dyDescent="0.3">
      <c r="A1" s="15" t="s">
        <v>605</v>
      </c>
    </row>
    <row r="2" spans="1:1" x14ac:dyDescent="0.3">
      <c r="A2" s="2" t="s">
        <v>308</v>
      </c>
    </row>
    <row r="3" spans="1:1" x14ac:dyDescent="0.3">
      <c r="A3" s="16" t="s">
        <v>307</v>
      </c>
    </row>
    <row r="4" spans="1:1" x14ac:dyDescent="0.3">
      <c r="A4" t="s">
        <v>604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33C45-D12D-4C4D-B1D2-1D9EC2013BB5}">
  <sheetPr codeName="Sheet27"/>
  <dimension ref="A1:A3"/>
  <sheetViews>
    <sheetView workbookViewId="0">
      <selection activeCell="A3" sqref="A2:A3"/>
    </sheetView>
  </sheetViews>
  <sheetFormatPr baseColWidth="10" defaultColWidth="8.88671875" defaultRowHeight="14.4" x14ac:dyDescent="0.3"/>
  <cols>
    <col min="1" max="1" width="17" bestFit="1" customWidth="1"/>
  </cols>
  <sheetData>
    <row r="1" spans="1:1" x14ac:dyDescent="0.3">
      <c r="A1" t="s">
        <v>38</v>
      </c>
    </row>
    <row r="2" spans="1:1" x14ac:dyDescent="0.3">
      <c r="A2" t="s">
        <v>613</v>
      </c>
    </row>
    <row r="3" spans="1:1" x14ac:dyDescent="0.3">
      <c r="A3" t="s">
        <v>611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03C8C-DAFF-4CC6-9B05-BDE91893CFF8}">
  <sheetPr codeName="Sheet28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1.6640625" customWidth="1"/>
  </cols>
  <sheetData>
    <row r="1" spans="1:1" x14ac:dyDescent="0.3">
      <c r="A1" t="s">
        <v>38</v>
      </c>
    </row>
    <row r="2" spans="1:1" x14ac:dyDescent="0.3">
      <c r="A2" t="s">
        <v>613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ABF52-847E-4CF1-AA13-F237026F380E}">
  <sheetPr codeName="Sheet18"/>
  <dimension ref="A1:A3"/>
  <sheetViews>
    <sheetView workbookViewId="0">
      <selection activeCell="A2" sqref="A2:A3"/>
    </sheetView>
  </sheetViews>
  <sheetFormatPr baseColWidth="10" defaultColWidth="8.88671875" defaultRowHeight="14.4" x14ac:dyDescent="0.3"/>
  <cols>
    <col min="1" max="1" width="10.109375" customWidth="1"/>
  </cols>
  <sheetData>
    <row r="1" spans="1:1" x14ac:dyDescent="0.3">
      <c r="A1" t="s">
        <v>595</v>
      </c>
    </row>
    <row r="2" spans="1:1" x14ac:dyDescent="0.3">
      <c r="A2" t="s">
        <v>266</v>
      </c>
    </row>
    <row r="3" spans="1:1" x14ac:dyDescent="0.3">
      <c r="A3" t="s">
        <v>596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43150-E998-461A-82AF-B223394522A9}">
  <sheetPr codeName="Sheet19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0.109375" customWidth="1"/>
  </cols>
  <sheetData>
    <row r="1" spans="1:1" x14ac:dyDescent="0.3">
      <c r="A1" t="s">
        <v>595</v>
      </c>
    </row>
    <row r="2" spans="1:1" x14ac:dyDescent="0.3">
      <c r="A2" t="s">
        <v>266</v>
      </c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2C5DD-C711-4B22-8AE9-C234AADEB339}">
  <sheetPr codeName="Sheet11"/>
  <dimension ref="A1:A4"/>
  <sheetViews>
    <sheetView workbookViewId="0">
      <selection activeCell="A4" sqref="A2:A4"/>
    </sheetView>
  </sheetViews>
  <sheetFormatPr baseColWidth="10" defaultColWidth="8.88671875" defaultRowHeight="14.4" x14ac:dyDescent="0.3"/>
  <cols>
    <col min="1" max="1" width="13.5546875" bestFit="1" customWidth="1"/>
  </cols>
  <sheetData>
    <row r="1" spans="1:1" x14ac:dyDescent="0.3">
      <c r="A1" t="s">
        <v>584</v>
      </c>
    </row>
    <row r="2" spans="1:1" x14ac:dyDescent="0.3">
      <c r="A2" t="s">
        <v>257</v>
      </c>
    </row>
    <row r="3" spans="1:1" x14ac:dyDescent="0.3">
      <c r="A3" t="s">
        <v>586</v>
      </c>
    </row>
    <row r="4" spans="1:1" x14ac:dyDescent="0.3">
      <c r="A4" t="s">
        <v>585</v>
      </c>
    </row>
  </sheetData>
  <pageMargins left="0.7" right="0.7" top="0.75" bottom="0.75" header="0.3" footer="0.3"/>
  <tableParts count="1">
    <tablePart r:id="rId1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EA4A-8753-446F-A950-62C27CC9B959}">
  <sheetPr codeName="Sheet12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9.88671875" bestFit="1" customWidth="1"/>
  </cols>
  <sheetData>
    <row r="1" spans="1:1" x14ac:dyDescent="0.3">
      <c r="A1" t="s">
        <v>584</v>
      </c>
    </row>
    <row r="2" spans="1:1" x14ac:dyDescent="0.3">
      <c r="A2" t="s">
        <v>257</v>
      </c>
    </row>
  </sheetData>
  <pageMargins left="0.7" right="0.7" top="0.75" bottom="0.75" header="0.3" footer="0.3"/>
  <tableParts count="1">
    <tablePart r:id="rId1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FF77-BE97-489D-B449-AF8C9D87B704}">
  <sheetPr codeName="Sheet14"/>
  <dimension ref="A1:A3"/>
  <sheetViews>
    <sheetView workbookViewId="0">
      <selection activeCell="D9" sqref="D9"/>
    </sheetView>
  </sheetViews>
  <sheetFormatPr baseColWidth="10" defaultColWidth="8.88671875" defaultRowHeight="14.4" x14ac:dyDescent="0.3"/>
  <cols>
    <col min="1" max="1" width="16.109375" bestFit="1" customWidth="1"/>
  </cols>
  <sheetData>
    <row r="1" spans="1:1" x14ac:dyDescent="0.3">
      <c r="A1" t="s">
        <v>587</v>
      </c>
    </row>
    <row r="2" spans="1:1" x14ac:dyDescent="0.3">
      <c r="A2" t="s">
        <v>260</v>
      </c>
    </row>
    <row r="3" spans="1:1" x14ac:dyDescent="0.3">
      <c r="A3" t="s">
        <v>262</v>
      </c>
    </row>
  </sheetData>
  <pageMargins left="0.7" right="0.7" top="0.75" bottom="0.75" header="0.3" footer="0.3"/>
  <tableParts count="1">
    <tablePart r:id="rId1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3193-17F0-472A-AC76-A9DF14DD9F83}">
  <sheetPr codeName="Sheet15"/>
  <dimension ref="A1:A2"/>
  <sheetViews>
    <sheetView workbookViewId="0">
      <selection activeCell="A2" sqref="A2"/>
    </sheetView>
  </sheetViews>
  <sheetFormatPr baseColWidth="10" defaultColWidth="8.88671875" defaultRowHeight="14.4" x14ac:dyDescent="0.3"/>
  <cols>
    <col min="1" max="1" width="10.6640625" customWidth="1"/>
  </cols>
  <sheetData>
    <row r="1" spans="1:1" x14ac:dyDescent="0.3">
      <c r="A1" t="s">
        <v>588</v>
      </c>
    </row>
    <row r="2" spans="1:1" x14ac:dyDescent="0.3">
      <c r="A2" t="s">
        <v>260</v>
      </c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807D-E51A-40B8-B382-F42050A2A86F}">
  <sheetPr codeName="Sheet16"/>
  <dimension ref="A1:A6"/>
  <sheetViews>
    <sheetView workbookViewId="0">
      <selection activeCell="A2" sqref="A2:A6"/>
    </sheetView>
  </sheetViews>
  <sheetFormatPr baseColWidth="10" defaultColWidth="8.88671875" defaultRowHeight="14.4" x14ac:dyDescent="0.3"/>
  <sheetData>
    <row r="1" spans="1:1" x14ac:dyDescent="0.3">
      <c r="A1" t="s">
        <v>589</v>
      </c>
    </row>
    <row r="2" spans="1:1" x14ac:dyDescent="0.3">
      <c r="A2" t="s">
        <v>590</v>
      </c>
    </row>
    <row r="3" spans="1:1" x14ac:dyDescent="0.3">
      <c r="A3" t="s">
        <v>591</v>
      </c>
    </row>
    <row r="4" spans="1:1" x14ac:dyDescent="0.3">
      <c r="A4" t="s">
        <v>592</v>
      </c>
    </row>
    <row r="5" spans="1:1" x14ac:dyDescent="0.3">
      <c r="A5" t="s">
        <v>593</v>
      </c>
    </row>
    <row r="6" spans="1:1" x14ac:dyDescent="0.3">
      <c r="A6" t="s">
        <v>594</v>
      </c>
    </row>
  </sheetData>
  <pageMargins left="0.7" right="0.7" top="0.75" bottom="0.75" header="0.3" footer="0.3"/>
  <tableParts count="1">
    <tablePart r:id="rId1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7241-15CB-49B2-BBC1-01F3B2428572}">
  <sheetPr codeName="Sheet17"/>
  <dimension ref="A1:A4"/>
  <sheetViews>
    <sheetView workbookViewId="0">
      <selection activeCell="A4" sqref="A2:A4"/>
    </sheetView>
  </sheetViews>
  <sheetFormatPr baseColWidth="10" defaultColWidth="8.88671875" defaultRowHeight="14.4" x14ac:dyDescent="0.3"/>
  <sheetData>
    <row r="1" spans="1:1" x14ac:dyDescent="0.3">
      <c r="A1" t="s">
        <v>589</v>
      </c>
    </row>
    <row r="2" spans="1:1" x14ac:dyDescent="0.3">
      <c r="A2" t="s">
        <v>590</v>
      </c>
    </row>
    <row r="3" spans="1:1" x14ac:dyDescent="0.3">
      <c r="A3" t="s">
        <v>591</v>
      </c>
    </row>
    <row r="4" spans="1:1" x14ac:dyDescent="0.3">
      <c r="A4" t="s">
        <v>593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718C6-9FAD-44C5-BB89-01A0310D2072}">
  <sheetPr codeName="Sheet1"/>
  <dimension ref="A1:A10"/>
  <sheetViews>
    <sheetView workbookViewId="0">
      <selection activeCell="A11" sqref="A11"/>
    </sheetView>
  </sheetViews>
  <sheetFormatPr baseColWidth="10" defaultColWidth="8.88671875" defaultRowHeight="14.4" x14ac:dyDescent="0.3"/>
  <cols>
    <col min="1" max="1" width="37.44140625" bestFit="1" customWidth="1"/>
    <col min="3" max="3" width="17.6640625" customWidth="1"/>
  </cols>
  <sheetData>
    <row r="1" spans="1:1" x14ac:dyDescent="0.3">
      <c r="A1" t="s">
        <v>539</v>
      </c>
    </row>
    <row r="2" spans="1:1" x14ac:dyDescent="0.3">
      <c r="A2" t="s">
        <v>173</v>
      </c>
    </row>
    <row r="3" spans="1:1" x14ac:dyDescent="0.3">
      <c r="A3" t="s">
        <v>214</v>
      </c>
    </row>
    <row r="4" spans="1:1" x14ac:dyDescent="0.3">
      <c r="A4" t="s">
        <v>251</v>
      </c>
    </row>
    <row r="5" spans="1:1" x14ac:dyDescent="0.3">
      <c r="A5" t="s">
        <v>252</v>
      </c>
    </row>
    <row r="6" spans="1:1" x14ac:dyDescent="0.3">
      <c r="A6" t="s">
        <v>218</v>
      </c>
    </row>
    <row r="7" spans="1:1" x14ac:dyDescent="0.3">
      <c r="A7" t="s">
        <v>568</v>
      </c>
    </row>
    <row r="8" spans="1:1" x14ac:dyDescent="0.3">
      <c r="A8" t="s">
        <v>569</v>
      </c>
    </row>
    <row r="9" spans="1:1" x14ac:dyDescent="0.3">
      <c r="A9" t="s">
        <v>612</v>
      </c>
    </row>
    <row r="10" spans="1:1" x14ac:dyDescent="0.3">
      <c r="A10" t="s">
        <v>636</v>
      </c>
    </row>
  </sheetData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5C01D-3576-48DA-8B07-F1CEF2E09FEB}">
  <sheetPr codeName="Sheet2"/>
  <dimension ref="A1:A7"/>
  <sheetViews>
    <sheetView workbookViewId="0">
      <selection activeCell="A2" sqref="A2:A5"/>
    </sheetView>
  </sheetViews>
  <sheetFormatPr baseColWidth="10" defaultColWidth="8.88671875" defaultRowHeight="14.4" x14ac:dyDescent="0.3"/>
  <cols>
    <col min="1" max="1" width="18.33203125" bestFit="1" customWidth="1"/>
  </cols>
  <sheetData>
    <row r="1" spans="1:1" x14ac:dyDescent="0.3">
      <c r="A1" s="15" t="s">
        <v>540</v>
      </c>
    </row>
    <row r="2" spans="1:1" x14ac:dyDescent="0.3">
      <c r="A2" t="s">
        <v>252</v>
      </c>
    </row>
    <row r="3" spans="1:1" x14ac:dyDescent="0.3">
      <c r="A3" t="s">
        <v>214</v>
      </c>
    </row>
    <row r="4" spans="1:1" x14ac:dyDescent="0.3">
      <c r="A4" t="s">
        <v>218</v>
      </c>
    </row>
    <row r="5" spans="1:1" x14ac:dyDescent="0.3">
      <c r="A5" t="s">
        <v>568</v>
      </c>
    </row>
    <row r="6" spans="1:1" x14ac:dyDescent="0.3">
      <c r="A6" t="s">
        <v>569</v>
      </c>
    </row>
    <row r="7" spans="1:1" x14ac:dyDescent="0.3">
      <c r="A7" t="s">
        <v>251</v>
      </c>
    </row>
  </sheetData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912A8-9436-4EF5-BF7E-A0A4EFA58D11}">
  <sheetPr codeName="Sheet4"/>
  <dimension ref="A1:G7"/>
  <sheetViews>
    <sheetView workbookViewId="0">
      <selection activeCell="D24" sqref="D24"/>
    </sheetView>
  </sheetViews>
  <sheetFormatPr baseColWidth="10" defaultColWidth="9.109375" defaultRowHeight="10.199999999999999" x14ac:dyDescent="0.2"/>
  <cols>
    <col min="1" max="1" width="70.6640625" style="39" bestFit="1" customWidth="1"/>
    <col min="2" max="2" width="17.33203125" style="39" bestFit="1" customWidth="1"/>
    <col min="3" max="3" width="18.33203125" style="39" bestFit="1" customWidth="1"/>
    <col min="4" max="4" width="17.44140625" style="39" bestFit="1" customWidth="1"/>
    <col min="5" max="5" width="14.6640625" style="39" bestFit="1" customWidth="1"/>
    <col min="6" max="6" width="17.88671875" style="39" bestFit="1" customWidth="1"/>
    <col min="7" max="7" width="10.5546875" style="39" bestFit="1" customWidth="1"/>
    <col min="8" max="16384" width="9.109375" style="39"/>
  </cols>
  <sheetData>
    <row r="1" spans="1:7" x14ac:dyDescent="0.2">
      <c r="A1" s="39" t="s">
        <v>548</v>
      </c>
      <c r="B1" s="39" t="s">
        <v>547</v>
      </c>
      <c r="C1" s="39" t="s">
        <v>553</v>
      </c>
      <c r="D1" s="39" t="s">
        <v>549</v>
      </c>
      <c r="E1" s="39" t="s">
        <v>550</v>
      </c>
      <c r="F1" s="39" t="s">
        <v>551</v>
      </c>
      <c r="G1" s="39" t="s">
        <v>524</v>
      </c>
    </row>
    <row r="2" spans="1:7" x14ac:dyDescent="0.2">
      <c r="A2" s="40" t="s">
        <v>554</v>
      </c>
      <c r="B2" s="40" t="s">
        <v>546</v>
      </c>
      <c r="C2" s="40" t="s">
        <v>514</v>
      </c>
      <c r="D2" s="41" t="s">
        <v>345</v>
      </c>
      <c r="E2" s="41" t="s">
        <v>208</v>
      </c>
      <c r="F2" s="40" t="s">
        <v>545</v>
      </c>
      <c r="G2" s="40" t="s">
        <v>537</v>
      </c>
    </row>
    <row r="3" spans="1:7" x14ac:dyDescent="0.2">
      <c r="A3" s="41" t="s">
        <v>555</v>
      </c>
      <c r="B3" s="41" t="s">
        <v>552</v>
      </c>
      <c r="C3" s="40" t="s">
        <v>514</v>
      </c>
      <c r="D3" s="41" t="s">
        <v>345</v>
      </c>
      <c r="E3" s="41" t="s">
        <v>208</v>
      </c>
      <c r="F3" s="41" t="s">
        <v>546</v>
      </c>
      <c r="G3" s="40" t="s">
        <v>537</v>
      </c>
    </row>
    <row r="4" spans="1:7" x14ac:dyDescent="0.2">
      <c r="A4" s="40" t="s">
        <v>554</v>
      </c>
      <c r="B4" s="40" t="s">
        <v>345</v>
      </c>
      <c r="C4" s="41" t="s">
        <v>515</v>
      </c>
      <c r="D4" s="40" t="s">
        <v>546</v>
      </c>
      <c r="E4" s="41" t="s">
        <v>208</v>
      </c>
      <c r="F4" s="41" t="s">
        <v>546</v>
      </c>
      <c r="G4" s="40" t="s">
        <v>537</v>
      </c>
    </row>
    <row r="5" spans="1:7" x14ac:dyDescent="0.2">
      <c r="A5" s="40" t="s">
        <v>554</v>
      </c>
      <c r="B5" s="41" t="s">
        <v>552</v>
      </c>
      <c r="C5" s="40" t="s">
        <v>514</v>
      </c>
      <c r="D5" s="40" t="s">
        <v>546</v>
      </c>
      <c r="E5" s="40" t="s">
        <v>114</v>
      </c>
      <c r="F5" s="41" t="s">
        <v>546</v>
      </c>
      <c r="G5" s="41" t="s">
        <v>538</v>
      </c>
    </row>
    <row r="6" spans="1:7" x14ac:dyDescent="0.2">
      <c r="A6" s="41" t="s">
        <v>555</v>
      </c>
      <c r="B6" s="40" t="s">
        <v>546</v>
      </c>
      <c r="C6" s="41" t="s">
        <v>515</v>
      </c>
      <c r="D6" s="40" t="s">
        <v>546</v>
      </c>
      <c r="E6" s="40" t="s">
        <v>114</v>
      </c>
      <c r="F6" s="40" t="s">
        <v>545</v>
      </c>
      <c r="G6" s="41" t="s">
        <v>538</v>
      </c>
    </row>
    <row r="7" spans="1:7" x14ac:dyDescent="0.2">
      <c r="A7" s="42" t="s">
        <v>556</v>
      </c>
      <c r="B7" s="42" t="s">
        <v>546</v>
      </c>
      <c r="C7" s="43" t="s">
        <v>515</v>
      </c>
      <c r="D7" s="42" t="s">
        <v>546</v>
      </c>
      <c r="E7" s="42" t="s">
        <v>114</v>
      </c>
      <c r="F7" s="42" t="s">
        <v>545</v>
      </c>
      <c r="G7" s="42" t="s">
        <v>537</v>
      </c>
    </row>
  </sheetData>
  <pageMargins left="0.7" right="0.7" top="0.75" bottom="0.75" header="0.3" footer="0.3"/>
  <tableParts count="1">
    <tablePart r:id="rId1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E08C-9DB5-40C1-9400-F686F7B42C3C}">
  <sheetPr codeName="Sheet9"/>
  <dimension ref="A1:A7"/>
  <sheetViews>
    <sheetView workbookViewId="0">
      <selection activeCell="A2" sqref="A2:A7"/>
    </sheetView>
  </sheetViews>
  <sheetFormatPr baseColWidth="10" defaultColWidth="8.88671875" defaultRowHeight="14.4" x14ac:dyDescent="0.3"/>
  <cols>
    <col min="1" max="1" width="16.33203125" customWidth="1"/>
  </cols>
  <sheetData>
    <row r="1" spans="1:1" x14ac:dyDescent="0.3">
      <c r="A1" t="s">
        <v>576</v>
      </c>
    </row>
    <row r="2" spans="1:1" x14ac:dyDescent="0.3">
      <c r="A2" t="s">
        <v>577</v>
      </c>
    </row>
    <row r="3" spans="1:1" x14ac:dyDescent="0.3">
      <c r="A3" t="s">
        <v>578</v>
      </c>
    </row>
    <row r="4" spans="1:1" x14ac:dyDescent="0.3">
      <c r="A4" t="s">
        <v>579</v>
      </c>
    </row>
    <row r="5" spans="1:1" x14ac:dyDescent="0.3">
      <c r="A5" t="s">
        <v>580</v>
      </c>
    </row>
    <row r="6" spans="1:1" x14ac:dyDescent="0.3">
      <c r="A6" t="s">
        <v>581</v>
      </c>
    </row>
    <row r="7" spans="1:1" x14ac:dyDescent="0.3">
      <c r="A7" t="s">
        <v>582</v>
      </c>
    </row>
  </sheetData>
  <pageMargins left="0.7" right="0.7" top="0.75" bottom="0.75" header="0.3" footer="0.3"/>
  <tableParts count="1">
    <tablePart r:id="rId1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F9DCE-4520-4CEE-B98A-E5C6B7C9617B}">
  <sheetPr codeName="Sheet10"/>
  <dimension ref="A1:A4"/>
  <sheetViews>
    <sheetView workbookViewId="0">
      <selection activeCell="C21" sqref="C21"/>
    </sheetView>
  </sheetViews>
  <sheetFormatPr baseColWidth="10" defaultColWidth="8.88671875" defaultRowHeight="14.4" x14ac:dyDescent="0.3"/>
  <cols>
    <col min="1" max="1" width="19.6640625" customWidth="1"/>
  </cols>
  <sheetData>
    <row r="1" spans="1:1" x14ac:dyDescent="0.3">
      <c r="A1" t="s">
        <v>583</v>
      </c>
    </row>
    <row r="2" spans="1:1" x14ac:dyDescent="0.3">
      <c r="A2" t="s">
        <v>577</v>
      </c>
    </row>
    <row r="3" spans="1:1" x14ac:dyDescent="0.3">
      <c r="A3" t="s">
        <v>578</v>
      </c>
    </row>
    <row r="4" spans="1:1" x14ac:dyDescent="0.3">
      <c r="A4" t="s">
        <v>579</v>
      </c>
    </row>
  </sheetData>
  <pageMargins left="0.7" right="0.7" top="0.75" bottom="0.75" header="0.3" footer="0.3"/>
  <tableParts count="1">
    <tablePart r:id="rId1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5480C-FB86-4EED-BA79-974BD457A7DA}">
  <sheetPr codeName="Sheet3"/>
  <dimension ref="A1:M4"/>
  <sheetViews>
    <sheetView workbookViewId="0">
      <selection activeCell="E18" sqref="E18"/>
    </sheetView>
  </sheetViews>
  <sheetFormatPr baseColWidth="10" defaultColWidth="15.5546875" defaultRowHeight="10.199999999999999" x14ac:dyDescent="0.2"/>
  <cols>
    <col min="1" max="1" width="74.33203125" style="39" bestFit="1" customWidth="1"/>
    <col min="2" max="2" width="3" style="39" customWidth="1"/>
    <col min="3" max="3" width="17.33203125" style="39" bestFit="1" customWidth="1"/>
    <col min="4" max="4" width="2.88671875" style="39" customWidth="1"/>
    <col min="5" max="5" width="18.33203125" style="39" bestFit="1" customWidth="1"/>
    <col min="6" max="6" width="2.5546875" style="39" customWidth="1"/>
    <col min="7" max="7" width="17.44140625" style="39" bestFit="1" customWidth="1"/>
    <col min="8" max="8" width="4.33203125" style="39" customWidth="1"/>
    <col min="9" max="9" width="14.5546875" style="39" customWidth="1"/>
    <col min="10" max="10" width="1.88671875" style="39" customWidth="1"/>
    <col min="11" max="11" width="17.5546875" style="39" customWidth="1"/>
    <col min="12" max="12" width="2.5546875" style="39" customWidth="1"/>
    <col min="13" max="13" width="10.5546875" style="39" bestFit="1" customWidth="1"/>
    <col min="14" max="16384" width="15.5546875" style="39"/>
  </cols>
  <sheetData>
    <row r="1" spans="1:13" x14ac:dyDescent="0.2">
      <c r="A1" s="39" t="s">
        <v>548</v>
      </c>
      <c r="C1" s="39" t="s">
        <v>547</v>
      </c>
      <c r="E1" s="39" t="s">
        <v>553</v>
      </c>
      <c r="G1" s="39" t="s">
        <v>549</v>
      </c>
      <c r="I1" s="39" t="s">
        <v>550</v>
      </c>
      <c r="K1" s="39" t="s">
        <v>551</v>
      </c>
      <c r="M1" s="39" t="s">
        <v>524</v>
      </c>
    </row>
    <row r="2" spans="1:13" x14ac:dyDescent="0.2">
      <c r="A2" s="39" t="s">
        <v>554</v>
      </c>
      <c r="C2" s="39" t="s">
        <v>546</v>
      </c>
      <c r="E2" s="39" t="s">
        <v>514</v>
      </c>
      <c r="G2" s="39" t="s">
        <v>546</v>
      </c>
      <c r="I2" s="39" t="s">
        <v>114</v>
      </c>
      <c r="K2" s="39" t="s">
        <v>545</v>
      </c>
      <c r="M2" s="39" t="s">
        <v>537</v>
      </c>
    </row>
    <row r="3" spans="1:13" x14ac:dyDescent="0.2">
      <c r="A3" s="39" t="s">
        <v>555</v>
      </c>
      <c r="C3" s="39" t="s">
        <v>552</v>
      </c>
      <c r="E3" s="39" t="s">
        <v>515</v>
      </c>
      <c r="G3" s="39" t="s">
        <v>345</v>
      </c>
      <c r="I3" s="39" t="s">
        <v>208</v>
      </c>
      <c r="K3" s="39" t="s">
        <v>546</v>
      </c>
      <c r="M3" s="39" t="s">
        <v>538</v>
      </c>
    </row>
    <row r="4" spans="1:13" x14ac:dyDescent="0.2">
      <c r="A4" s="39" t="s">
        <v>556</v>
      </c>
      <c r="C4" s="39" t="s">
        <v>345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96D31-FCC1-437E-9F1F-394F9E5E9FD3}">
  <sheetPr codeName="Sheet6"/>
  <dimension ref="A1:G5"/>
  <sheetViews>
    <sheetView workbookViewId="0">
      <selection activeCell="G16" sqref="G16"/>
    </sheetView>
  </sheetViews>
  <sheetFormatPr baseColWidth="10" defaultColWidth="9.109375" defaultRowHeight="10.199999999999999" x14ac:dyDescent="0.2"/>
  <cols>
    <col min="1" max="1" width="10" style="39" bestFit="1" customWidth="1"/>
    <col min="2" max="2" width="15.44140625" style="39" customWidth="1"/>
    <col min="3" max="3" width="12.109375" style="39" customWidth="1"/>
    <col min="4" max="4" width="11.109375" style="39" customWidth="1"/>
    <col min="5" max="5" width="12.6640625" style="39" customWidth="1"/>
    <col min="6" max="6" width="11.109375" style="39" customWidth="1"/>
    <col min="7" max="7" width="45.88671875" style="39" bestFit="1" customWidth="1"/>
    <col min="8" max="16384" width="9.109375" style="39"/>
  </cols>
  <sheetData>
    <row r="1" spans="1:7" x14ac:dyDescent="0.2">
      <c r="A1" s="39" t="s">
        <v>14</v>
      </c>
      <c r="B1" s="39" t="s">
        <v>49</v>
      </c>
      <c r="C1" s="39" t="s">
        <v>50</v>
      </c>
      <c r="D1" s="39" t="s">
        <v>17</v>
      </c>
      <c r="E1" s="39" t="s">
        <v>18</v>
      </c>
      <c r="F1" s="39" t="s">
        <v>19</v>
      </c>
      <c r="G1" s="39" t="s">
        <v>150</v>
      </c>
    </row>
    <row r="2" spans="1:7" x14ac:dyDescent="0.2">
      <c r="A2" s="39" t="s">
        <v>20</v>
      </c>
      <c r="B2" s="39" t="s">
        <v>90</v>
      </c>
      <c r="C2" s="39" t="s">
        <v>561</v>
      </c>
      <c r="D2" s="39" t="s">
        <v>564</v>
      </c>
      <c r="E2" s="39" t="s">
        <v>566</v>
      </c>
      <c r="F2" s="39" t="s">
        <v>21</v>
      </c>
      <c r="G2" s="39" t="s">
        <v>597</v>
      </c>
    </row>
    <row r="3" spans="1:7" x14ac:dyDescent="0.2">
      <c r="A3" s="39" t="s">
        <v>21</v>
      </c>
      <c r="B3" s="39" t="s">
        <v>560</v>
      </c>
      <c r="C3" s="39" t="s">
        <v>562</v>
      </c>
      <c r="D3" s="39" t="s">
        <v>564</v>
      </c>
      <c r="E3" s="39" t="s">
        <v>87</v>
      </c>
      <c r="F3" s="39" t="s">
        <v>26</v>
      </c>
    </row>
    <row r="4" spans="1:7" x14ac:dyDescent="0.2">
      <c r="A4" s="39" t="s">
        <v>26</v>
      </c>
      <c r="B4" s="39" t="s">
        <v>557</v>
      </c>
      <c r="C4" s="39" t="s">
        <v>563</v>
      </c>
      <c r="D4" s="39" t="s">
        <v>565</v>
      </c>
      <c r="E4" s="39" t="s">
        <v>567</v>
      </c>
      <c r="F4" s="39" t="s">
        <v>558</v>
      </c>
    </row>
    <row r="5" spans="1:7" x14ac:dyDescent="0.2">
      <c r="A5" s="39" t="s">
        <v>558</v>
      </c>
      <c r="B5" s="39" t="s">
        <v>559</v>
      </c>
      <c r="C5" s="39" t="s">
        <v>561</v>
      </c>
      <c r="D5" s="39" t="s">
        <v>564</v>
      </c>
      <c r="E5" s="39" t="s">
        <v>87</v>
      </c>
      <c r="F5" s="39" t="s">
        <v>75</v>
      </c>
    </row>
  </sheetData>
  <pageMargins left="0.7" right="0.7" top="0.75" bottom="0.75" header="0.3" footer="0.3"/>
  <tableParts count="1">
    <tablePart r:id="rId1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9EFE3-DF16-4996-B7AF-E07C6EF4F32A}">
  <sheetPr codeName="Sheet7"/>
  <dimension ref="A1:E6"/>
  <sheetViews>
    <sheetView workbookViewId="0">
      <selection sqref="A1:E6"/>
    </sheetView>
  </sheetViews>
  <sheetFormatPr baseColWidth="10" defaultColWidth="9.109375" defaultRowHeight="10.199999999999999" x14ac:dyDescent="0.2"/>
  <cols>
    <col min="1" max="1" width="10.109375" style="39" customWidth="1"/>
    <col min="2" max="2" width="14.5546875" style="39" customWidth="1"/>
    <col min="3" max="3" width="15.6640625" style="39" customWidth="1"/>
    <col min="4" max="4" width="14.6640625" style="39" customWidth="1"/>
    <col min="5" max="5" width="9.109375" style="39" bestFit="1"/>
    <col min="6" max="16384" width="9.109375" style="39"/>
  </cols>
  <sheetData>
    <row r="1" spans="1:5" x14ac:dyDescent="0.2">
      <c r="A1" s="50" t="s">
        <v>522</v>
      </c>
      <c r="B1" s="50" t="s">
        <v>523</v>
      </c>
      <c r="C1" s="50" t="s">
        <v>525</v>
      </c>
      <c r="D1" s="51" t="s">
        <v>526</v>
      </c>
      <c r="E1" s="50" t="s">
        <v>524</v>
      </c>
    </row>
    <row r="2" spans="1:5" x14ac:dyDescent="0.2">
      <c r="A2" s="45" t="s">
        <v>527</v>
      </c>
      <c r="B2" s="44">
        <v>43713</v>
      </c>
      <c r="C2" s="44">
        <v>43726</v>
      </c>
      <c r="D2" s="46">
        <v>0.70833333333333337</v>
      </c>
      <c r="E2" s="45" t="s">
        <v>535</v>
      </c>
    </row>
    <row r="3" spans="1:5" x14ac:dyDescent="0.2">
      <c r="A3" s="48" t="s">
        <v>531</v>
      </c>
      <c r="B3" s="47">
        <v>43688</v>
      </c>
      <c r="C3" s="47">
        <v>43726</v>
      </c>
      <c r="D3" s="49">
        <v>0.70833333333333337</v>
      </c>
      <c r="E3" s="45" t="s">
        <v>570</v>
      </c>
    </row>
    <row r="4" spans="1:5" x14ac:dyDescent="0.2">
      <c r="A4" s="45" t="s">
        <v>532</v>
      </c>
      <c r="B4" s="44">
        <v>43716</v>
      </c>
      <c r="C4" s="44">
        <v>43726</v>
      </c>
      <c r="D4" s="46">
        <v>0.70833333333333337</v>
      </c>
      <c r="E4" s="45" t="s">
        <v>570</v>
      </c>
    </row>
    <row r="5" spans="1:5" x14ac:dyDescent="0.2">
      <c r="A5" s="48" t="s">
        <v>533</v>
      </c>
      <c r="B5" s="47">
        <v>43655</v>
      </c>
      <c r="C5" s="47">
        <v>43726</v>
      </c>
      <c r="D5" s="49">
        <v>0.70833333333333337</v>
      </c>
      <c r="E5" s="45" t="s">
        <v>570</v>
      </c>
    </row>
    <row r="6" spans="1:5" x14ac:dyDescent="0.2">
      <c r="A6" s="52" t="s">
        <v>534</v>
      </c>
      <c r="B6" s="53">
        <v>43723</v>
      </c>
      <c r="C6" s="53">
        <v>43726</v>
      </c>
      <c r="D6" s="54">
        <v>0.70833333333333337</v>
      </c>
      <c r="E6" s="52" t="s">
        <v>535</v>
      </c>
    </row>
  </sheetData>
  <pageMargins left="0.7" right="0.7" top="0.75" bottom="0.75" header="0.3" footer="0.3"/>
  <tableParts count="1">
    <tablePart r:id="rId1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B502D-C0B6-41D7-9875-13C55964C19F}">
  <sheetPr codeName="Sheet8"/>
  <dimension ref="A1:E6"/>
  <sheetViews>
    <sheetView workbookViewId="0">
      <selection activeCell="C19" sqref="C19"/>
    </sheetView>
  </sheetViews>
  <sheetFormatPr baseColWidth="10" defaultColWidth="10.44140625" defaultRowHeight="14.4" x14ac:dyDescent="0.3"/>
  <cols>
    <col min="1" max="1" width="10.33203125" bestFit="1" customWidth="1"/>
    <col min="2" max="2" width="14.6640625" bestFit="1" customWidth="1"/>
    <col min="3" max="3" width="16" bestFit="1" customWidth="1"/>
    <col min="4" max="4" width="14.88671875" bestFit="1" customWidth="1"/>
    <col min="5" max="5" width="8" bestFit="1" customWidth="1"/>
  </cols>
  <sheetData>
    <row r="1" spans="1:5" x14ac:dyDescent="0.3">
      <c r="A1" s="50" t="s">
        <v>522</v>
      </c>
      <c r="B1" s="50" t="s">
        <v>523</v>
      </c>
      <c r="C1" s="50" t="s">
        <v>525</v>
      </c>
      <c r="D1" s="51" t="s">
        <v>526</v>
      </c>
      <c r="E1" s="50" t="s">
        <v>524</v>
      </c>
    </row>
    <row r="2" spans="1:5" x14ac:dyDescent="0.3">
      <c r="A2" s="45" t="s">
        <v>571</v>
      </c>
      <c r="B2" s="44">
        <v>43819</v>
      </c>
      <c r="C2" s="44">
        <v>43819</v>
      </c>
      <c r="D2" s="46">
        <v>0.7715277777777777</v>
      </c>
      <c r="E2" s="45" t="s">
        <v>570</v>
      </c>
    </row>
    <row r="3" spans="1:5" x14ac:dyDescent="0.3">
      <c r="A3" s="48" t="s">
        <v>572</v>
      </c>
      <c r="B3" s="47">
        <v>43820</v>
      </c>
      <c r="C3" s="47">
        <v>43821</v>
      </c>
      <c r="D3" s="49">
        <v>0.47222222222222227</v>
      </c>
      <c r="E3" s="45" t="s">
        <v>570</v>
      </c>
    </row>
    <row r="4" spans="1:5" x14ac:dyDescent="0.3">
      <c r="A4" s="45" t="s">
        <v>573</v>
      </c>
      <c r="B4" s="44">
        <v>43835</v>
      </c>
      <c r="C4" s="44">
        <v>43836</v>
      </c>
      <c r="D4" s="46">
        <v>0.3756944444444445</v>
      </c>
      <c r="E4" s="45" t="s">
        <v>570</v>
      </c>
    </row>
    <row r="5" spans="1:5" x14ac:dyDescent="0.3">
      <c r="A5" s="48" t="s">
        <v>574</v>
      </c>
      <c r="B5" s="47">
        <v>43838</v>
      </c>
      <c r="C5" s="47">
        <v>43718</v>
      </c>
      <c r="D5" s="49">
        <v>0.62013888888888891</v>
      </c>
      <c r="E5" s="45" t="s">
        <v>570</v>
      </c>
    </row>
    <row r="6" spans="1:5" x14ac:dyDescent="0.3">
      <c r="A6" s="52" t="s">
        <v>575</v>
      </c>
      <c r="B6" s="44">
        <v>43841</v>
      </c>
      <c r="C6" s="53">
        <v>43720</v>
      </c>
      <c r="D6" s="54">
        <v>0.42708333333333331</v>
      </c>
      <c r="E6" s="52" t="s">
        <v>535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53</vt:i4>
      </vt:variant>
      <vt:variant>
        <vt:lpstr>Rangos con nombre</vt:lpstr>
      </vt:variant>
      <vt:variant>
        <vt:i4>16</vt:i4>
      </vt:variant>
    </vt:vector>
  </HeadingPairs>
  <TitlesOfParts>
    <vt:vector size="69" baseType="lpstr">
      <vt:lpstr>INICIO</vt:lpstr>
      <vt:lpstr>DISEÑO ARQUITECTONICO</vt:lpstr>
      <vt:lpstr>Regla</vt:lpstr>
      <vt:lpstr>SelecReclamo</vt:lpstr>
      <vt:lpstr>VarExis</vt:lpstr>
      <vt:lpstr>VarHab</vt:lpstr>
      <vt:lpstr>Protocolo</vt:lpstr>
      <vt:lpstr>TipReclamo</vt:lpstr>
      <vt:lpstr>ValProtocolo</vt:lpstr>
      <vt:lpstr>Sheet3</vt:lpstr>
      <vt:lpstr>SEGURIDAD</vt:lpstr>
      <vt:lpstr>MANT-PARAM</vt:lpstr>
      <vt:lpstr>Producto</vt:lpstr>
      <vt:lpstr>SegmentoExi</vt:lpstr>
      <vt:lpstr>Familia</vt:lpstr>
      <vt:lpstr>FamiliaHab</vt:lpstr>
      <vt:lpstr>Clase</vt:lpstr>
      <vt:lpstr>ClaseHab</vt:lpstr>
      <vt:lpstr>Bien</vt:lpstr>
      <vt:lpstr>BienHab</vt:lpstr>
      <vt:lpstr>Hoja1</vt:lpstr>
      <vt:lpstr>DATA_ENTRY_CLIENTE</vt:lpstr>
      <vt:lpstr>Clientes</vt:lpstr>
      <vt:lpstr>ClientesHab</vt:lpstr>
      <vt:lpstr>Cons</vt:lpstr>
      <vt:lpstr>Conshab</vt:lpstr>
      <vt:lpstr>ReclamosDes</vt:lpstr>
      <vt:lpstr>ReclamosHab</vt:lpstr>
      <vt:lpstr>EstadoReclamo</vt:lpstr>
      <vt:lpstr>VarReclamo</vt:lpstr>
      <vt:lpstr>CatProblemas1</vt:lpstr>
      <vt:lpstr>CatProblemas2</vt:lpstr>
      <vt:lpstr>TipoProblema</vt:lpstr>
      <vt:lpstr>TipoProblemaHab</vt:lpstr>
      <vt:lpstr>Problema</vt:lpstr>
      <vt:lpstr>ProblemaHab</vt:lpstr>
      <vt:lpstr>Idiomas</vt:lpstr>
      <vt:lpstr>IdiomasHab</vt:lpstr>
      <vt:lpstr>Ambito</vt:lpstr>
      <vt:lpstr>AmbitoHab</vt:lpstr>
      <vt:lpstr>Sectores</vt:lpstr>
      <vt:lpstr>SectoresHab</vt:lpstr>
      <vt:lpstr>Local</vt:lpstr>
      <vt:lpstr>LocalHab</vt:lpstr>
      <vt:lpstr>MantGeneral</vt:lpstr>
      <vt:lpstr>MantGeneral2</vt:lpstr>
      <vt:lpstr>MantProtocolo</vt:lpstr>
      <vt:lpstr>Empleados</vt:lpstr>
      <vt:lpstr>EmpleadosHab</vt:lpstr>
      <vt:lpstr>MantProtocolo2</vt:lpstr>
      <vt:lpstr>MantReglas</vt:lpstr>
      <vt:lpstr>DataEntryArea1</vt:lpstr>
      <vt:lpstr>DataEntryArea2</vt:lpstr>
      <vt:lpstr>Accesodisp</vt:lpstr>
      <vt:lpstr>Accesos</vt:lpstr>
      <vt:lpstr>ACCESOSASIG</vt:lpstr>
      <vt:lpstr>ACCESOSDISP</vt:lpstr>
      <vt:lpstr>Consideraciones</vt:lpstr>
      <vt:lpstr>dd</vt:lpstr>
      <vt:lpstr>EstadoLista</vt:lpstr>
      <vt:lpstr>familainicio</vt:lpstr>
      <vt:lpstr>familiaagregado</vt:lpstr>
      <vt:lpstr>Familiainicial</vt:lpstr>
      <vt:lpstr>lineashabilitadas</vt:lpstr>
      <vt:lpstr>PROTO</vt:lpstr>
      <vt:lpstr>PROTOCO</vt:lpstr>
      <vt:lpstr>PROTOCOLO</vt:lpstr>
      <vt:lpstr>RareaExistente</vt:lpstr>
      <vt:lpstr>varhabilitada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2026-09-08T11:09:30Z</dcterms:modified>
</cp:coreProperties>
</file>